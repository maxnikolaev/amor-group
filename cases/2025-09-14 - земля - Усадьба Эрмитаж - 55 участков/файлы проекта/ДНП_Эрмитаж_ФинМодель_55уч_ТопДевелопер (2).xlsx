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Вводные" sheetId="1" state="visible" r:id="rId3"/>
    <sheet name="2. Денежный поток" sheetId="2" state="visible" r:id="rId4"/>
    <sheet name="3. Сценарии" sheetId="3" state="visible" r:id="rId5"/>
    <sheet name="4. Риски" sheetId="4" state="visible" r:id="rId6"/>
    <sheet name="5. Принципы оценки" sheetId="5" state="visible" r:id="rId7"/>
    <sheet name="6. Конкуренты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<sst xmlns="http://schemas.openxmlformats.org/spreadsheetml/2006/main" count="461" uniqueCount="350">
  <si>
    <t xml:space="preserve">ДНП «УСАДЬБА ЭРМИТАЖ» — МАСТЕР ДОПУЩЕНИЙ</t>
  </si>
  <si>
    <t xml:space="preserve">Редевелопмент поселка · 55 участков под ИЖС · Московская обл., Можайский р-н</t>
  </si>
  <si>
    <t xml:space="preserve">  СИНИЙ текст = исходные данные (вводите здесь)   |   ЧЁРНЫЙ текст = формулы (не менять)   |   ЗЕЛЁНЫЙ = ссылки на другие листы</t>
  </si>
  <si>
    <t xml:space="preserve">  1. АКТИВ</t>
  </si>
  <si>
    <t xml:space="preserve">Параметр</t>
  </si>
  <si>
    <t xml:space="preserve">Значение</t>
  </si>
  <si>
    <t xml:space="preserve">Ед. изм.</t>
  </si>
  <si>
    <t xml:space="preserve">Примечание</t>
  </si>
  <si>
    <t xml:space="preserve">Общая площадь ДНП</t>
  </si>
  <si>
    <t xml:space="preserve">га</t>
  </si>
  <si>
    <t xml:space="preserve">По договору аренды</t>
  </si>
  <si>
    <t xml:space="preserve">Всего участков</t>
  </si>
  <si>
    <t xml:space="preserve">шт.</t>
  </si>
  <si>
    <t xml:space="preserve">По плану межевания</t>
  </si>
  <si>
    <t xml:space="preserve">Из них продаётся (редевелопмент)</t>
  </si>
  <si>
    <t xml:space="preserve">Все участки — стратегия полного выкупа</t>
  </si>
  <si>
    <t xml:space="preserve">Средняя площадь участка</t>
  </si>
  <si>
    <t xml:space="preserve">соток</t>
  </si>
  <si>
    <t xml:space="preserve">Большинство 1 500 м², часть угловых до 1 856 м²</t>
  </si>
  <si>
    <t xml:space="preserve">Суммарная продаваемая площадь</t>
  </si>
  <si>
    <t xml:space="preserve">участков × средняя площадь</t>
  </si>
  <si>
    <t xml:space="preserve">Удалённость от МКАД</t>
  </si>
  <si>
    <t xml:space="preserve">км</t>
  </si>
  <si>
    <t xml:space="preserve">Минское шоссе М-1</t>
  </si>
  <si>
    <t xml:space="preserve">Текущий статус земли</t>
  </si>
  <si>
    <t xml:space="preserve">Аренда 49 лет</t>
  </si>
  <si>
    <t xml:space="preserve">С правом перевода в собственность</t>
  </si>
  <si>
    <t xml:space="preserve">Природное окружение</t>
  </si>
  <si>
    <t xml:space="preserve">Заповедник Бородино</t>
  </si>
  <si>
    <t xml:space="preserve">Лес по всему периметру — ключевое УТП</t>
  </si>
  <si>
    <t xml:space="preserve">  2. ЦЕНООБРАЗОВАНИЕ</t>
  </si>
  <si>
    <t xml:space="preserve">Цена за сотку — фаза 1 (уч. 1–18)</t>
  </si>
  <si>
    <t xml:space="preserve">руб./сот.</t>
  </si>
  <si>
    <t xml:space="preserve">Дисконт 10% к рынку для разгона продаж</t>
  </si>
  <si>
    <t xml:space="preserve">Цена за сотку — фаза 2 (уч. 19–37)</t>
  </si>
  <si>
    <t xml:space="preserve">Рыночная цена после завершения инфраструктуры</t>
  </si>
  <si>
    <t xml:space="preserve">Цена за сотку — фаза 3 (уч. 38–55)</t>
  </si>
  <si>
    <t xml:space="preserve">Премиум после перевода земли в собственность</t>
  </si>
  <si>
    <t xml:space="preserve">Средневзвешенная цена за сотку</t>
  </si>
  <si>
    <t xml:space="preserve">Авт. расчёт</t>
  </si>
  <si>
    <t xml:space="preserve">Стоимость 1 участка (ср. взвеш.)</t>
  </si>
  <si>
    <t xml:space="preserve">руб.</t>
  </si>
  <si>
    <t xml:space="preserve">Средняя по портфелю</t>
  </si>
  <si>
    <t xml:space="preserve">Membershipvступительный взнос</t>
  </si>
  <si>
    <t xml:space="preserve">руб./уч.</t>
  </si>
  <si>
    <t xml:space="preserve">При подписании договора</t>
  </si>
  <si>
    <t xml:space="preserve">Целевой взнос (инфраструктура)</t>
  </si>
  <si>
    <t xml:space="preserve">На строительство общих объектов</t>
  </si>
  <si>
    <t xml:space="preserve">Ежегодный взнос (с 3-го года)</t>
  </si>
  <si>
    <t xml:space="preserve">руб./уч./год</t>
  </si>
  <si>
    <t xml:space="preserve">Управление, охрана, обслуживание</t>
  </si>
  <si>
    <t xml:space="preserve">  3. ТЕМП ПРОДАЖ</t>
  </si>
  <si>
    <t xml:space="preserve">Продажи — год 1</t>
  </si>
  <si>
    <t xml:space="preserve">уч./год</t>
  </si>
  <si>
    <t xml:space="preserve">Мягкий старт после достройки КПП</t>
  </si>
  <si>
    <t xml:space="preserve">Продажи — год 2</t>
  </si>
  <si>
    <t xml:space="preserve">Активная фаза — инфраструктура готова</t>
  </si>
  <si>
    <t xml:space="preserve">Продажи — год 3</t>
  </si>
  <si>
    <t xml:space="preserve">Пиковый год — перевод земли в собственность</t>
  </si>
  <si>
    <t xml:space="preserve">Продажи — год 4</t>
  </si>
  <si>
    <t xml:space="preserve">Финишная фаза</t>
  </si>
  <si>
    <t xml:space="preserve">Продажи — год 5</t>
  </si>
  <si>
    <t xml:space="preserve">Остаток</t>
  </si>
  <si>
    <t xml:space="preserve">Итого участков к продаже</t>
  </si>
  <si>
    <t xml:space="preserve">уч.</t>
  </si>
  <si>
    <t xml:space="preserve">Должно быть 55</t>
  </si>
  <si>
    <t xml:space="preserve">  4. КАПИТАЛЬНЫЕ ВЛОЖЕНИЯ В ИНФРАСТРУКТУРУ</t>
  </si>
  <si>
    <t xml:space="preserve">Забор по периметру (5 км × 2 400 руб./м)</t>
  </si>
  <si>
    <t xml:space="preserve">Ориентир: профлист+бетон, 2 400 руб./пм</t>
  </si>
  <si>
    <t xml:space="preserve">КПП + шлагбаум + СКУД</t>
  </si>
  <si>
    <t xml:space="preserve">Дом охраны 50 м² + оборудование</t>
  </si>
  <si>
    <t xml:space="preserve">Административное здание (150 м²)</t>
  </si>
  <si>
    <t xml:space="preserve">50 000 руб./м², отделка под ключ</t>
  </si>
  <si>
    <t xml:space="preserve">Пруд (противопожарный + рекреация)</t>
  </si>
  <si>
    <t xml:space="preserve">Выемка грунта + берегоукрепление</t>
  </si>
  <si>
    <t xml:space="preserve">Детская площадка + зона отдыха</t>
  </si>
  <si>
    <t xml:space="preserve">Оборудование + благоустройство</t>
  </si>
  <si>
    <t xml:space="preserve">Расширение дороги до 5,5 м + асфальт</t>
  </si>
  <si>
    <t xml:space="preserve">Критично для ИЖС, 800 руб./пм</t>
  </si>
  <si>
    <t xml:space="preserve">Электросети (35 кВт на участок)</t>
  </si>
  <si>
    <t xml:space="preserve">Трансформатор + разводка</t>
  </si>
  <si>
    <t xml:space="preserve">Ливневая канализация + дренаж</t>
  </si>
  <si>
    <t xml:space="preserve">Обязательно для частных домов</t>
  </si>
  <si>
    <t xml:space="preserve">Резерв (15% от capex)</t>
  </si>
  <si>
    <t xml:space="preserve">Строительный риск-резерв</t>
  </si>
  <si>
    <t xml:space="preserve">ИТОГО CAPEX</t>
  </si>
  <si>
    <t xml:space="preserve">  5. ОПЕРАЦИОННЫЕ РАСХОДЫ (ЕЖЕГОДНО)</t>
  </si>
  <si>
    <t xml:space="preserve">Охрана 24/7 (2 поста × 3 смены)</t>
  </si>
  <si>
    <t xml:space="preserve">руб./год</t>
  </si>
  <si>
    <t xml:space="preserve">100 000 руб./мес × 2 поста</t>
  </si>
  <si>
    <t xml:space="preserve">Маркетинг и продажи</t>
  </si>
  <si>
    <t xml:space="preserve">ЦИАН + Яндекс + агенты 3% от сделок</t>
  </si>
  <si>
    <t xml:space="preserve">Обслуживание дорог + уборка снега</t>
  </si>
  <si>
    <t xml:space="preserve">Договор с подрядчиком</t>
  </si>
  <si>
    <t xml:space="preserve">Юридическое сопровождение + перевод земли</t>
  </si>
  <si>
    <t xml:space="preserve">Приоритет 1: перевод аренды в собственность</t>
  </si>
  <si>
    <t xml:space="preserve">Управление ДНП (УК или штат 3 чел.)</t>
  </si>
  <si>
    <t xml:space="preserve">150 000 руб./мес фонд оплаты</t>
  </si>
  <si>
    <t xml:space="preserve">Прочие (коммунальные МОП, страхование)</t>
  </si>
  <si>
    <t xml:space="preserve">ИТОГО OPEX в год</t>
  </si>
  <si>
    <t xml:space="preserve">  6. ФИНАНСИРОВАНИЕ И СТАВКИ</t>
  </si>
  <si>
    <t xml:space="preserve">Требуемые инвестиции (CAPEX + OPEX год 1)</t>
  </si>
  <si>
    <t xml:space="preserve">Стартовый капитал</t>
  </si>
  <si>
    <t xml:space="preserve">Ставка дисконтирования (WACC)</t>
  </si>
  <si>
    <t xml:space="preserve">дес.</t>
  </si>
  <si>
    <t xml:space="preserve">20% — рыночная ставка для РФ, ИЖС</t>
  </si>
  <si>
    <t xml:space="preserve">Налог на прибыль (УСН 15%)</t>
  </si>
  <si>
    <t xml:space="preserve">Оптимальный режим для ДНП</t>
  </si>
  <si>
    <t xml:space="preserve">Инфляция строительных материалов</t>
  </si>
  <si>
    <t xml:space="preserve">Закладываем 12% годовой рост CAPEX</t>
  </si>
  <si>
    <t xml:space="preserve">Целевая IRR проекта</t>
  </si>
  <si>
    <t xml:space="preserve">Минимальная для входа в актив</t>
  </si>
  <si>
    <t xml:space="preserve">МОДЕЛЬ ДЕНЕЖНЫХ ПОТОКОВ · 55 участков · 5 лет</t>
  </si>
  <si>
    <t xml:space="preserve">Статья</t>
  </si>
  <si>
    <t xml:space="preserve">Год 1</t>
  </si>
  <si>
    <t xml:space="preserve">Год 2</t>
  </si>
  <si>
    <t xml:space="preserve">Год 3</t>
  </si>
  <si>
    <t xml:space="preserve">Год 4</t>
  </si>
  <si>
    <t xml:space="preserve">Год 5</t>
  </si>
  <si>
    <t xml:space="preserve">ИТОГО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</si>
  <si>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</si>
  <si>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</si>
  <si>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</si>
  <si>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</si>
  <si>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</si>
  <si>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5 лет</t>
  </si>
  <si>
    <t xml:space="preserve">  A. ОБЪЁМ ПРОДАЖ</t>
  </si>
  <si>
    <t xml:space="preserve">Участков продано в год (шт.)</t>
  </si>
  <si>
    <t xml:space="preserve">Накопленные продажи (шт.)</t>
  </si>
  <si>
    <t xml:space="preserve">  B. ДОХОДЫ (руб.)</t>
  </si>
  <si>
    <t xml:space="preserve">Выручка от продажи участков</t>
  </si>
  <si>
    <t xml:space="preserve">Вступительные взносы (50 тыс./уч.)</t>
  </si>
  <si>
    <t xml:space="preserve">Целевые взносы (200 тыс./уч.)</t>
  </si>
  <si>
    <t xml:space="preserve">Ежегодные членские взносы (60 тыс./уч.)</t>
  </si>
  <si>
    <t xml:space="preserve">ИТОГО ДОХОДЫ</t>
  </si>
  <si>
    <t xml:space="preserve">  C. КАПИТАЛЬНЫЕ ВЛОЖЕНИЯ (руб.)</t>
  </si>
  <si>
    <t xml:space="preserve">Забор по периметру</t>
  </si>
  <si>
    <t xml:space="preserve">Административное здание</t>
  </si>
  <si>
    <t xml:space="preserve">Пруд + детская площадка</t>
  </si>
  <si>
    <t xml:space="preserve">Дороги + асфальтирование</t>
  </si>
  <si>
    <t xml:space="preserve">Электросети</t>
  </si>
  <si>
    <t xml:space="preserve">Ливнёвка + дренаж</t>
  </si>
  <si>
    <t xml:space="preserve">Резерв capex (15%)</t>
  </si>
  <si>
    <t xml:space="preserve">  D. ОПЕРАЦИОННЫЕ РАСХОДЫ (руб.)</t>
  </si>
  <si>
    <t xml:space="preserve">Охрана 24/7</t>
  </si>
  <si>
    <t xml:space="preserve">Обслуживание дорог, уборка</t>
  </si>
  <si>
    <t xml:space="preserve">Юридика + перевод земли</t>
  </si>
  <si>
    <t xml:space="preserve">Управление ДНП (УК)</t>
  </si>
  <si>
    <t xml:space="preserve">Прочие операционные</t>
  </si>
  <si>
    <t xml:space="preserve">ИТОГО OPEX</t>
  </si>
  <si>
    <t xml:space="preserve">  E. НАЛОГ (УСН 15% от прибыли)</t>
  </si>
  <si>
    <t xml:space="preserve">  F. ИТОГОВЫЕ ПОТОКИ</t>
  </si>
  <si>
    <t xml:space="preserve">ЧИСТЫЙ ДЕНЕЖНЫЙ ПОТОК (ЧДП)</t>
  </si>
  <si>
    <t xml:space="preserve">Накопленный ЧДП (нарастающим)</t>
  </si>
  <si>
    <t xml:space="preserve">  G. KPI ПРОЕКТА</t>
  </si>
  <si>
    <t xml:space="preserve">Суммарная выручка (5 лет)</t>
  </si>
  <si>
    <t xml:space="preserve">Суммарные расходы (CAPEX+OPEX+Налог)</t>
  </si>
  <si>
    <t xml:space="preserve">Чистая прибыль</t>
  </si>
  <si>
    <t xml:space="preserve">ROI (прибыль/затраты)</t>
  </si>
  <si>
    <t xml:space="preserve">Маржинальность (EBIT margin)</t>
  </si>
  <si>
    <t xml:space="preserve">NPV (ставка 20%)</t>
  </si>
  <si>
    <t xml:space="preserve">Выручка на 1 участок (ср.)</t>
  </si>
  <si>
    <t xml:space="preserve">Прибыль на 1 участок (ср.)</t>
  </si>
  <si>
    <t xml:space="preserve">СЦЕНАРНЫЙ АНАЛИЗ · Консервативный / Базовый / Оптимистичный / Стресс</t>
  </si>
  <si>
    <t xml:space="preserve">КОНСЕРВАТИВНЫЙ</t>
  </si>
  <si>
    <t xml:space="preserve">БАЗОВЫЙ ★</t>
  </si>
  <si>
    <t xml:space="preserve">ОПТИМИСТИЧНЫЙ</t>
  </si>
  <si>
    <t xml:space="preserve">СТРЕСС-ТЕСТ</t>
  </si>
  <si>
    <t xml:space="preserve">  ЦЕНООБРАЗОВАНИЕ</t>
  </si>
  <si>
    <t xml:space="preserve">Цена/сотка фаза 1 (руб.)</t>
  </si>
  <si>
    <t xml:space="preserve">Цена/сотка фаза 2 (руб.)</t>
  </si>
  <si>
    <t xml:space="preserve">Цена/сотка фаза 3 (руб.)</t>
  </si>
  <si>
    <t xml:space="preserve">Средняя цена/сотка (руб.)</t>
  </si>
  <si>
    <t xml:space="preserve">  ПРОДАЖИ</t>
  </si>
  <si>
    <t xml:space="preserve">Темп продаж (уч./год, ср.)</t>
  </si>
  <si>
    <t xml:space="preserve">Срок реализации (лет)</t>
  </si>
  <si>
    <t xml:space="preserve">  ФИНАНСОВЫЕ РЕЗУЛЬТАТЫ</t>
  </si>
  <si>
    <t xml:space="preserve">Суммарная выручка (млн руб.)</t>
  </si>
  <si>
    <t xml:space="preserve">Суммарный CAPEX+OPEX (млн руб.)</t>
  </si>
  <si>
    <t xml:space="preserve">Чистая прибыль (млн руб.)</t>
  </si>
  <si>
    <t xml:space="preserve">ROI</t>
  </si>
  <si>
    <t xml:space="preserve">NPV @ 20% (млн руб.)</t>
  </si>
  <si>
    <t xml:space="preserve">IRR (оценка)</t>
  </si>
  <si>
    <t xml:space="preserve">  ВЫВОД</t>
  </si>
  <si>
    <t xml:space="preserve">МАТРИЦА РИСКОВ · Стратегические / Операционные / Тактические</t>
  </si>
  <si>
    <t xml:space="preserve">Риск</t>
  </si>
  <si>
    <t xml:space="preserve">Тип</t>
  </si>
  <si>
    <t xml:space="preserve">Вероятность</t>
  </si>
  <si>
    <t xml:space="preserve">Влияние</t>
  </si>
  <si>
    <t xml:space="preserve">Описание &amp; Триггер</t>
  </si>
  <si>
    <t xml:space="preserve">Митигация</t>
  </si>
  <si>
    <t xml:space="preserve">  СТРАТЕГИЧЕСКИЕ РИСКИ</t>
  </si>
  <si>
    <t xml:space="preserve">Статус аренды (не собственность)</t>
  </si>
  <si>
    <t xml:space="preserve">Стратег.</t>
  </si>
  <si>
    <t xml:space="preserve">Высокая</t>
  </si>
  <si>
    <t xml:space="preserve">Критич.</t>
  </si>
  <si>
    <t xml:space="preserve">Покупатели частных домов требуют ИЖС в собственности. Риск заморозки продаж до перевода. Триггер: сделка сорвалась из-за статуса земли.</t>
  </si>
  <si>
    <t xml:space="preserve">Немедленно нанять земельных юристов. Бюджет ₽1,2 млн/год. Целевой срок перевода: 18 мес. Параллельно — продавать права аренды как промежуточный шаг.</t>
  </si>
  <si>
    <t xml:space="preserve">Отсутствие газификации</t>
  </si>
  <si>
    <t xml:space="preserve">ИЖС без газа — потолок цены ограничен эконом+. Потеря 20–40% потенциальной выручки vs. газифицированных КП. Триггер: Bayside Residence снижает цены.</t>
  </si>
  <si>
    <t xml:space="preserve">Проработать подключение к газораспределительной сети через Можайск. ТЭО газификации в первый год. До газа — пропановые котлы как стандарт.</t>
  </si>
  <si>
    <t xml:space="preserve">Перенасыщение рынка Минского шоссе</t>
  </si>
  <si>
    <t xml:space="preserve">Средняя</t>
  </si>
  <si>
    <t xml:space="preserve">Высокое</t>
  </si>
  <si>
    <t xml:space="preserve">5+ активных КП в радиусе 30 км. При стагнации рынка продажи могут упасть до 3–4 уч./год. Триггер: ключевой конкурент объявляет акцию -20%.</t>
  </si>
  <si>
    <t xml:space="preserve">Дифференциация: заповедный лес — уникальное УТП. Фокус на эко-аудиторию. Партнёрство с экотуризмом Бородино.</t>
  </si>
  <si>
    <t xml:space="preserve">Снижение платёжеспособного спроса</t>
  </si>
  <si>
    <t xml:space="preserve">Ипотечные ставки 20%+. Покупки загородки за наличные — нишевый рынок. Триггер: ключевая ставка ЦБ &gt;20%.</t>
  </si>
  <si>
    <t xml:space="preserve">Рассрочка от ДНП (12 мес. без %). Партнёрство с банками по загородной ипотеке. Целевой сегмент: IT-специалисты и малый бизнес с кэшем.</t>
  </si>
  <si>
    <t xml:space="preserve">Изменение условий аренды Администрацией</t>
  </si>
  <si>
    <t xml:space="preserve">Низкая</t>
  </si>
  <si>
    <t xml:space="preserve">Теоретически возможен пересмотр арендной ставки или отказ в переводе земли. Триггер: смена главы района.</t>
  </si>
  <si>
    <t xml:space="preserve">Зафиксировать все договорённости нотариально. Страхование инвестиций. Личные отношения с администрацией.</t>
  </si>
  <si>
    <t xml:space="preserve">  ОПЕРАЦИОННЫЕ РИСКИ</t>
  </si>
  <si>
    <t xml:space="preserve">Рост стоимости строительства</t>
  </si>
  <si>
    <t xml:space="preserve">Операц.</t>
  </si>
  <si>
    <t xml:space="preserve">Инфляция стройматериалов 12–20%/год. Резерв 15% capex может не покрыть перерасход. Триггер: стоимость металлопроката выросла &gt;30%.</t>
  </si>
  <si>
    <t xml:space="preserve">Заключить договоры с подрядчиками с фиксированной ценой. Резерв capex 15%. Приоритизация: сначала забор и КПП — продажный триггер.</t>
  </si>
  <si>
    <t xml:space="preserve">Задержки строительства инфраструктуры</t>
  </si>
  <si>
    <t xml:space="preserve">Каждый месяц задержки = потеря 1–2 продаж. При задержке 6 мес. — потеря ₽8–15 млн выручки. Триггер: подрядчик срывает сроки.</t>
  </si>
  <si>
    <t xml:space="preserve">Несколько параллельных подрядчиков. Штрафные санкции в договорах. Личный прораб на объекте.</t>
  </si>
  <si>
    <t xml:space="preserve">Конфликты внутри ДНП (38 существующих участников)</t>
  </si>
  <si>
    <t xml:space="preserve">Средн.</t>
  </si>
  <si>
    <t xml:space="preserve">Существующие члены ДНП могут блокировать решения об инфраструктуре или ценообразовании. Триггер: собрание срывает план застройки.</t>
  </si>
  <si>
    <t xml:space="preserve">Детальный устав ДНП с чёткими правилами голосования. Выкупить блокирующий пакет голосов. Коммуникационная программа для членов.</t>
  </si>
  <si>
    <t xml:space="preserve">Некачественное строительство и гарантийные риски</t>
  </si>
  <si>
    <t xml:space="preserve">Дефекты дорог, дренажа, электросетей после передачи жителям. Триггер: претензии первых 5 покупателей.</t>
  </si>
  <si>
    <t xml:space="preserve">Строительный контроль (технадзор). Гарантийный фонд 3% от каждой сделки. Качество = репутация = темп продаж фаз 2 и 3.</t>
  </si>
  <si>
    <t xml:space="preserve">  ТАКТИЧЕСКИЕ РИСКИ</t>
  </si>
  <si>
    <t xml:space="preserve">Слабый маркетинг — недобор лидов</t>
  </si>
  <si>
    <t xml:space="preserve">Тактич.</t>
  </si>
  <si>
    <t xml:space="preserve">ЦИАН, Авито — высокая конкуренция. Стоимость лида в загородке: ₽5 000–25 000. Конверсия лид → сделка ~2–5%. Триггер: продаж &lt; плана на 30%.</t>
  </si>
  <si>
    <t xml:space="preserve">Штатный маркетолог с KPI на лиды. Контент-маркетинг: YouTube-канал об экожизни. Агентская сеть (3% комиссия).</t>
  </si>
  <si>
    <t xml:space="preserve">Юридические претензии покупателей</t>
  </si>
  <si>
    <t xml:space="preserve">Расторжение сделок, возврат денег, репутационный ущерб. Триггер: один громкий скандал в соцсетях.</t>
  </si>
  <si>
    <t xml:space="preserve">Прозрачные договоры. Escrow-счёт или аккредитив. Юрист в штате. Обязательное NPS-измерение после каждой сделки.</t>
  </si>
  <si>
    <t xml:space="preserve">Ошибки в кадастре / межевании</t>
  </si>
  <si>
    <t xml:space="preserve">Пересечение границ участков, ошибки площади. Триггер: первый покупатель обнаруживает расхождение.</t>
  </si>
  <si>
    <t xml:space="preserve">Повторная проверка кадастровых паспортов всех 55 участков до старта продаж. Страхование титула.</t>
  </si>
  <si>
    <t xml:space="preserve">Сезонность продаж</t>
  </si>
  <si>
    <t xml:space="preserve">Низкое</t>
  </si>
  <si>
    <t xml:space="preserve">70% продаж загородки — март-июнь и сентябрь-октябрь. Зима — просадка выручки на 40–60%.</t>
  </si>
  <si>
    <t xml:space="preserve">Зимние акции и спецпредложения. Демонстрация заснеженного леса как эко-преимущества. Планирование CF с учётом сезонности.</t>
  </si>
  <si>
    <t xml:space="preserve">ПРИНЦИПЫ ОЦЕНКИ ЗЕМЛИ ПОД МОСКВОЙ · Фреймворк топ-девелопера</t>
  </si>
  <si>
    <t xml:space="preserve">Критерий / Вопрос</t>
  </si>
  <si>
    <t xml:space="preserve">Оценка
Эрмитаж</t>
  </si>
  <si>
    <t xml:space="preserve">Вес
(из 10)</t>
  </si>
  <si>
    <t xml:space="preserve">Комментарий топ-девелопера</t>
  </si>
  <si>
    <t xml:space="preserve">  1. ЗЕМЛЯ И ПРАВОВОЙ СТАТУС</t>
  </si>
  <si>
    <t xml:space="preserve">Право собственности (не аренда)?</t>
  </si>
  <si>
    <t xml:space="preserve">3/10</t>
  </si>
  <si>
    <t xml:space="preserve">8</t>
  </si>
  <si>
    <t xml:space="preserve">Аренда 49 лет — приемлемо только как промежуточный шаг. Первое действие: перевод в ИЖС/собственность. Без этого дисконт 30–40% к рыночной цене.</t>
  </si>
  <si>
    <t xml:space="preserve">ВРИ: разрешено строительство дома?</t>
  </si>
  <si>
    <t xml:space="preserve">7/10</t>
  </si>
  <si>
    <t xml:space="preserve">9</t>
  </si>
  <si>
    <t xml:space="preserve">Нужен ВРИ «для ведения садоводства» или ИЖС. Дачный статус снижает ипотечную доступность.</t>
  </si>
  <si>
    <t xml:space="preserve">Обременения, залоги, судебные споры?</t>
  </si>
  <si>
    <t xml:space="preserve">9/10</t>
  </si>
  <si>
    <t xml:space="preserve">Проверить ЕГРН, судебные базы, долги по аренде. Стоп-фактор #1.</t>
  </si>
  <si>
    <t xml:space="preserve">Кадастровая стоимость vs рыночная</t>
  </si>
  <si>
    <t xml:space="preserve">6</t>
  </si>
  <si>
    <t xml:space="preserve">Дельта — потенциал оспаривания кадастровой стоимости для снижения налогов.</t>
  </si>
  <si>
    <t xml:space="preserve">  2. ЛОКАЦИЯ — THE GOLDEN RULE</t>
  </si>
  <si>
    <t xml:space="preserve">Расстояние от МКАД (золотая зона 60–90 км)?</t>
  </si>
  <si>
    <t xml:space="preserve">5/10</t>
  </si>
  <si>
    <t xml:space="preserve">10</t>
  </si>
  <si>
    <t xml:space="preserve">100 км — за золотой зоной. Компенсируется заповедником. Минское шоссе — хорошая трасса без пробок.</t>
  </si>
  <si>
    <t xml:space="preserve">Транспортная доступность (ж/д, шоссе)?</t>
  </si>
  <si>
    <t xml:space="preserve">6/10</t>
  </si>
  <si>
    <t xml:space="preserve">Нет ж/д. Только авто. Минус для части аудитории. Плюс: трасса М-1 без серьёзных пробок.</t>
  </si>
  <si>
    <t xml:space="preserve">Природное окружение (лес, вода)?</t>
  </si>
  <si>
    <t xml:space="preserve">10/10</t>
  </si>
  <si>
    <t xml:space="preserve">Бородинский заповедник + Можайское водохранилище = топ-1 природный актив в зоне 100 км от МКАД.</t>
  </si>
  <si>
    <t xml:space="preserve">Конкурентное окружение (КП в 10 км)?</t>
  </si>
  <si>
    <t xml:space="preserve">Bayside Residence — сильный конкурент. Но в разном ценовом сегменте. Прямых аналогов с лесом нет.</t>
  </si>
  <si>
    <t xml:space="preserve">  3. ИНФРАСТРУКТУРА И КОММУНИКАЦИИ</t>
  </si>
  <si>
    <t xml:space="preserve">Газ — подведён или реализуем?</t>
  </si>
  <si>
    <t xml:space="preserve">2/10</t>
  </si>
  <si>
    <t xml:space="preserve">Газ отсутствует. Это главный сдерживающий фактор ценообразования для ИЖС. Без газа — потолок 100–115 тыс./сотку.</t>
  </si>
  <si>
    <t xml:space="preserve">Электроснабжение (мощность)?</t>
  </si>
  <si>
    <t xml:space="preserve">ТП на объекте. Проверить выделенную мощность: ИЖС требует 15 кВт/участок.</t>
  </si>
  <si>
    <t xml:space="preserve">Дороги: асфальт или грунт?</t>
  </si>
  <si>
    <t xml:space="preserve">4/10</t>
  </si>
  <si>
    <t xml:space="preserve">Грунтовые дороги внутри — неприемлемо для ИЖС. Асфальт — обязательный capex.</t>
  </si>
  <si>
    <t xml:space="preserve">Водоснабжение и канализация?</t>
  </si>
  <si>
    <t xml:space="preserve">7</t>
  </si>
  <si>
    <t xml:space="preserve">Скважины на участках — стандарт. Септики — норма для загородки. Централизация нежелательна (дорого).</t>
  </si>
  <si>
    <t xml:space="preserve">  4. ЭКОНОМИКА СДЕЛКИ</t>
  </si>
  <si>
    <t xml:space="preserve">Цена входа (руб./сотка) vs рынок?</t>
  </si>
  <si>
    <t xml:space="preserve">8/10</t>
  </si>
  <si>
    <t xml:space="preserve">Если актив берётся через выкуп прав аренды — возможна цена ₽15–25 тыс./сотку. Огромный апсайд к целевым 100–125 тыс.</t>
  </si>
  <si>
    <t xml:space="preserve">Потенциал прибыли &gt;100% от инвестиций?</t>
  </si>
  <si>
    <t xml:space="preserve">В оптимистичном сценарии IRR &gt; 50%. Базовый: ROI 80–100%. Проходит порог входа.</t>
  </si>
  <si>
    <t xml:space="preserve">Срок до выхода в кэш &lt; 3 лет?</t>
  </si>
  <si>
    <t xml:space="preserve">При темпе 11 уч./год первые поступления — через 3–4 мес. после старта продаж.</t>
  </si>
  <si>
    <t xml:space="preserve">Стоимость инфраструктуры &lt; 25% выручки?</t>
  </si>
  <si>
    <t xml:space="preserve">Capex ~₽50 млн / Выручка ~₽175 млн = 28%. Чуть выше. Риск capex-оверрана.</t>
  </si>
  <si>
    <t xml:space="preserve">  5. УТП И МАРКЕТИНГ</t>
  </si>
  <si>
    <t xml:space="preserve">Есть ли уникальное торговое преимущество?</t>
  </si>
  <si>
    <t xml:space="preserve">Да: заповедный лес по периметру + Бородинское поле = storytelling для премиального покупателя.</t>
  </si>
  <si>
    <t xml:space="preserve">Целевая аудитория чётко определена?</t>
  </si>
  <si>
    <t xml:space="preserve">IT-предприниматели 35–50 лет, экофamily, инвесторы в загородку. Платёжеспособны, покупают за кэш.</t>
  </si>
  <si>
    <t xml:space="preserve">Конкурентная цена входа для покупателя?</t>
  </si>
  <si>
    <t xml:space="preserve">В 2–3 раза дешевле Bayside. При том же природном активе. Это USP.</t>
  </si>
  <si>
    <t xml:space="preserve">  ИТОГОВЫЙ БАЛЛ</t>
  </si>
  <si>
    <t xml:space="preserve">Эрмитаж — интегральная оценка</t>
  </si>
  <si>
    <t xml:space="preserve">6.7/10</t>
  </si>
  <si>
    <t xml:space="preserve">Проект проходит порог входа. Главные условия победы: 1) перевод земли в собственность, 2) газификация, 3) асфальт, 4) агрессивный маркетинг.</t>
  </si>
  <si>
    <t xml:space="preserve">КОНКУРЕНТНЫЙ АНАЛИЗ · Радиус 30 км от ДНП «Усадьба Эрмитаж»</t>
  </si>
  <si>
    <t xml:space="preserve">Поселок</t>
  </si>
  <si>
    <t xml:space="preserve">км от МКАД</t>
  </si>
  <si>
    <t xml:space="preserve">Расстояние</t>
  </si>
  <si>
    <t xml:space="preserve">Класс</t>
  </si>
  <si>
    <t xml:space="preserve">Цена/сотка мин</t>
  </si>
  <si>
    <t xml:space="preserve">Цена/сотка макс</t>
  </si>
  <si>
    <t xml:space="preserve">Инфраструктура</t>
  </si>
  <si>
    <t xml:space="preserve">Рейтинг</t>
  </si>
  <si>
    <t xml:space="preserve">ДНП «Усадьба Эрмитаж» ★</t>
  </si>
  <si>
    <t xml:space="preserve">0 км</t>
  </si>
  <si>
    <t xml:space="preserve">ДНП/Эко</t>
  </si>
  <si>
    <t xml:space="preserve">Электр., дороги, КПП, заповедник</t>
  </si>
  <si>
    <t xml:space="preserve">★★★★</t>
  </si>
  <si>
    <t xml:space="preserve">Bayside Residence</t>
  </si>
  <si>
    <t xml:space="preserve">~6 км</t>
  </si>
  <si>
    <t xml:space="preserve">Бизнес</t>
  </si>
  <si>
    <t xml:space="preserve">Газ, охрана, теннис, пляж, 360 домов</t>
  </si>
  <si>
    <t xml:space="preserve">★★★★★</t>
  </si>
  <si>
    <t xml:space="preserve">КП «Речной»</t>
  </si>
  <si>
    <t xml:space="preserve">~12 км</t>
  </si>
  <si>
    <t xml:space="preserve">Эконом</t>
  </si>
  <si>
    <t xml:space="preserve">Электр., асфальт, дренаж, детск.пл.</t>
  </si>
  <si>
    <t xml:space="preserve">★★★</t>
  </si>
  <si>
    <t xml:space="preserve">«Раточкины пруды»</t>
  </si>
  <si>
    <t xml:space="preserve">~20 км</t>
  </si>
  <si>
    <t xml:space="preserve">Эконом+</t>
  </si>
  <si>
    <t xml:space="preserve">Газ, электр., бассейн, охрана, водоём</t>
  </si>
  <si>
    <t xml:space="preserve">ДНП «Маринские дачи»</t>
  </si>
  <si>
    <t xml:space="preserve">~15 км</t>
  </si>
  <si>
    <t xml:space="preserve">ДНП</t>
  </si>
  <si>
    <t xml:space="preserve">Электр., грунтовые дороги</t>
  </si>
  <si>
    <t xml:space="preserve">★★</t>
  </si>
  <si>
    <t xml:space="preserve">ДНП «Лыткинские зори»</t>
  </si>
  <si>
    <t xml:space="preserve">~5 км</t>
  </si>
  <si>
    <t xml:space="preserve">Электр., инфраструктура</t>
  </si>
  <si>
    <t xml:space="preserve">ИЖС рынок Можайский р-н</t>
  </si>
  <si>
    <t xml:space="preserve">р-н</t>
  </si>
  <si>
    <t xml:space="preserve">Вторичка</t>
  </si>
  <si>
    <t xml:space="preserve">Варьируется, нет управления</t>
  </si>
  <si>
    <t xml:space="preserve">  Вывод: «Усадьба Эрмитаж» — единственный объект с заповедным лесом по периметру в ценовом сегменте 85–125 тыс./сотку. Главный конкурент по природе (Bayside) стоит в 2–3 раза дороже.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</si>
</sst>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General"/>
    <numFmt numFmtId="167" formatCode="0.0%"/>
    <numFmt numFmtId="168" formatCode="0.00%"/>
    <numFmt numFmtId="169" formatCode="#,##0;\(#,##0\);\-"/>
    <numFmt numFmtId="170" formatCode="#,##0.0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888780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9"/>
      <color rgb="FF88878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1B3A5C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b val="true"/>
      <sz val="10"/>
      <color rgb="FF0F6E56"/>
      <name val="Arial"/>
      <family val="0"/>
      <charset val="1"/>
    </font>
    <font>
      <b val="true"/>
      <sz val="10"/>
      <color rgb="FFA32D2D"/>
      <name val="Arial"/>
      <family val="0"/>
      <charset val="1"/>
    </font>
    <font>
      <b val="true"/>
      <sz val="10"/>
      <color rgb="FFBA7517"/>
      <name val="Arial"/>
      <family val="0"/>
      <charset val="1"/>
    </font>
    <font>
      <b val="true"/>
      <sz val="10"/>
      <color rgb="FF1B3A5C"/>
      <name val="Arial"/>
      <family val="0"/>
      <charset val="1"/>
    </font>
    <font>
      <b val="true"/>
      <sz val="11"/>
      <color rgb="FF0F6E56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1A1A1A"/>
      <name val="Arial"/>
      <family val="0"/>
      <charset val="1"/>
    </font>
    <font>
      <i val="true"/>
      <sz val="9"/>
      <color rgb="FF0F6E56"/>
      <name val="Arial"/>
      <family val="0"/>
      <charset val="1"/>
    </font>
    <font>
      <i val="true"/>
      <sz val="10"/>
      <color rgb="FF0F6E56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1B3A5C"/>
        <bgColor rgb="FF333399"/>
      </patternFill>
    </fill>
    <fill>
      <patternFill patternType="solid">
        <fgColor rgb="FFEBF4FB"/>
        <bgColor rgb="FFF0FAF5"/>
      </patternFill>
    </fill>
    <fill>
      <patternFill patternType="solid">
        <fgColor rgb="FFFFF9E6"/>
        <bgColor rgb="FFF5F5F3"/>
      </patternFill>
    </fill>
    <fill>
      <patternFill patternType="solid">
        <fgColor rgb="FF2E6DA4"/>
        <bgColor rgb="FF3366FF"/>
      </patternFill>
    </fill>
    <fill>
      <patternFill patternType="solid">
        <fgColor rgb="FFF5F5F3"/>
        <bgColor rgb="FFF0FAF5"/>
      </patternFill>
    </fill>
    <fill>
      <patternFill patternType="solid">
        <fgColor rgb="FFFFFFFF"/>
        <bgColor rgb="FFFFF9E6"/>
      </patternFill>
    </fill>
    <fill>
      <patternFill patternType="solid">
        <fgColor rgb="FFD5E8F0"/>
        <bgColor rgb="FFD5F0E4"/>
      </patternFill>
    </fill>
    <fill>
      <patternFill patternType="solid">
        <fgColor rgb="FFD5F0E4"/>
        <bgColor rgb="FFD5E8F0"/>
      </patternFill>
    </fill>
    <fill>
      <patternFill patternType="solid">
        <fgColor rgb="FFFCEBEB"/>
        <bgColor rgb="FFFAEEDA"/>
      </patternFill>
    </fill>
    <fill>
      <patternFill patternType="solid">
        <fgColor rgb="FFFAEEDA"/>
        <bgColor rgb="FFFCEBEB"/>
      </patternFill>
    </fill>
    <fill>
      <patternFill patternType="solid">
        <fgColor rgb="FF888780"/>
        <bgColor rgb="FF969696"/>
      </patternFill>
    </fill>
    <fill>
      <patternFill patternType="solid">
        <fgColor rgb="FF0F6E56"/>
        <bgColor rgb="FF008080"/>
      </patternFill>
    </fill>
    <fill>
      <patternFill patternType="solid">
        <fgColor rgb="FFA32D2D"/>
        <bgColor rgb="FF993366"/>
      </patternFill>
    </fill>
    <fill>
      <patternFill patternType="solid">
        <fgColor rgb="FFF0FAF5"/>
        <bgColor rgb="FFF5F5F3"/>
      </patternFill>
    </fill>
    <fill>
      <patternFill patternType="solid">
        <fgColor rgb="FFBA7517"/>
        <bgColor rgb="FFFF66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0" fillId="6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0" fillId="7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12" fillId="6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12" fillId="7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12" fillId="6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8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12" fillId="6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10" fillId="7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10" fillId="6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5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9" fontId="16" fillId="7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17" fillId="7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9" fontId="12" fillId="6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17" fillId="6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8" fillId="7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9" fontId="12" fillId="7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8" fillId="9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9" fontId="19" fillId="9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17" fillId="8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9" fillId="10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9" fontId="12" fillId="1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17" fillId="1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8" fillId="10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9" fontId="20" fillId="1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16" fillId="6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8" fillId="11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9" fontId="21" fillId="11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8" fillId="8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9" fontId="22" fillId="8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8" fillId="7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23" fillId="7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6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23" fillId="6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23" fillId="9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23" fillId="7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24" fillId="9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23" fillId="9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5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1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1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6" fillId="6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22" fillId="8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26" fillId="7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12" fillId="7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12" fillId="6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70" fontId="12" fillId="6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70" fontId="22" fillId="8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70" fontId="26" fillId="7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7" fontId="12" fillId="7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7" fontId="22" fillId="8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7" fontId="12" fillId="6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14" fillId="5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1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6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8" fillId="9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7" fillId="7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8" fillId="1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1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2" fillId="8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22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2" fillId="8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9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6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9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7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9" fillId="9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A7517"/>
      <rgbColor rgb="FF800080"/>
      <rgbColor rgb="FF0F6E56"/>
      <rgbColor rgb="FFCCCCCC"/>
      <rgbColor rgb="FF888780"/>
      <rgbColor rgb="FF9999FF"/>
      <rgbColor rgb="FF993366"/>
      <rgbColor rgb="FFFFF9E6"/>
      <rgbColor rgb="FFD5E8F0"/>
      <rgbColor rgb="FF660066"/>
      <rgbColor rgb="FFFF8080"/>
      <rgbColor rgb="FF2E6DA4"/>
      <rgbColor rgb="FFFCEBE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4FB"/>
      <rgbColor rgb="FFD5F0E4"/>
      <rgbColor rgb="FFFAEEDA"/>
      <rgbColor rgb="FFF0FAF5"/>
      <rgbColor rgb="FFFF99CC"/>
      <rgbColor rgb="FFCC99FF"/>
      <rgbColor rgb="FFF5F5F3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B3A5C"/>
      <rgbColor rgb="FF339966"/>
      <rgbColor rgb="FF003300"/>
      <rgbColor rgb="FF333300"/>
      <rgbColor rgb="FFA32D2D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6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8"/>
    <col collapsed="false" customWidth="true" hidden="false" outlineLevel="0" max="4" min="3" style="1" width="18"/>
    <col collapsed="false" customWidth="true" hidden="false" outlineLevel="0" max="5" min="5" style="1" width="28"/>
  </cols>
  <sheetData>
    <row r="1" customFormat="false" ht="36" hidden="false" customHeight="true" outlineLevel="0" collapsed="false">
      <c r="B1" s="2" t="s">
        <v>0</v>
      </c>
      <c r="C1" s="2"/>
      <c r="D1" s="2"/>
      <c r="E1" s="2"/>
    </row>
    <row r="2" customFormat="false" ht="19.5" hidden="false" customHeight="true" outlineLevel="0" collapsed="false">
      <c r="B2" s="3" t="s">
        <v>1</v>
      </c>
      <c r="C2" s="3"/>
      <c r="D2" s="3"/>
      <c r="E2" s="3"/>
    </row>
    <row r="3" customFormat="false" ht="15.75" hidden="false" customHeight="true" outlineLevel="0" collapsed="false">
      <c r="B3" s="4" t="s">
        <v>2</v>
      </c>
      <c r="C3" s="4"/>
      <c r="D3" s="4"/>
      <c r="E3" s="4"/>
    </row>
    <row r="4" customFormat="false" ht="7.5" hidden="false" customHeight="true" outlineLevel="0" collapsed="false"/>
    <row r="5" customFormat="false" ht="21.75" hidden="false" customHeight="true" outlineLevel="0" collapsed="false">
      <c r="B5" s="5" t="s">
        <v>3</v>
      </c>
      <c r="C5" s="5"/>
      <c r="D5" s="5"/>
      <c r="E5" s="5"/>
    </row>
    <row r="6" customFormat="false" ht="18" hidden="false" customHeight="true" outlineLevel="0" collapsed="false">
      <c r="B6" s="6" t="s">
        <v>4</v>
      </c>
      <c r="C6" s="6" t="s">
        <v>5</v>
      </c>
      <c r="D6" s="6" t="s">
        <v>6</v>
      </c>
      <c r="E6" s="6" t="s">
        <v>7</v>
      </c>
    </row>
    <row r="7" customFormat="false" ht="16.5" hidden="false" customHeight="true" outlineLevel="0" collapsed="false">
      <c r="B7" s="7" t="s">
        <v>8</v>
      </c>
      <c r="C7" s="8" t="n">
        <v>10</v>
      </c>
      <c r="D7" s="7" t="s">
        <v>9</v>
      </c>
      <c r="E7" s="9" t="s">
        <v>10</v>
      </c>
    </row>
    <row r="8" customFormat="false" ht="16.5" hidden="false" customHeight="true" outlineLevel="0" collapsed="false">
      <c r="B8" s="10" t="s">
        <v>11</v>
      </c>
      <c r="C8" s="11" t="n">
        <v>55</v>
      </c>
      <c r="D8" s="10" t="s">
        <v>12</v>
      </c>
      <c r="E8" s="12" t="s">
        <v>13</v>
      </c>
    </row>
    <row r="9" customFormat="false" ht="16.5" hidden="false" customHeight="true" outlineLevel="0" collapsed="false">
      <c r="B9" s="7" t="s">
        <v>14</v>
      </c>
      <c r="C9" s="8" t="n">
        <v>55</v>
      </c>
      <c r="D9" s="7" t="s">
        <v>12</v>
      </c>
      <c r="E9" s="9" t="s">
        <v>15</v>
      </c>
    </row>
    <row r="10" customFormat="false" ht="16.5" hidden="false" customHeight="true" outlineLevel="0" collapsed="false">
      <c r="B10" s="10" t="s">
        <v>16</v>
      </c>
      <c r="C10" s="11" t="n">
        <v>15</v>
      </c>
      <c r="D10" s="10" t="s">
        <v>17</v>
      </c>
      <c r="E10" s="12" t="s">
        <v>18</v>
      </c>
    </row>
    <row r="11" customFormat="false" ht="16.5" hidden="false" customHeight="true" outlineLevel="0" collapsed="false">
      <c r="B11" s="7" t="s">
        <v>19</v>
      </c>
      <c r="C11" s="13" t="n">
        <f aca="false">C8*C10</f>
        <v>825</v>
      </c>
      <c r="D11" s="7" t="s">
        <v>17</v>
      </c>
      <c r="E11" s="9" t="s">
        <v>20</v>
      </c>
    </row>
    <row r="12" customFormat="false" ht="16.5" hidden="false" customHeight="true" outlineLevel="0" collapsed="false">
      <c r="B12" s="10" t="s">
        <v>21</v>
      </c>
      <c r="C12" s="11" t="n">
        <v>100</v>
      </c>
      <c r="D12" s="10" t="s">
        <v>22</v>
      </c>
      <c r="E12" s="12" t="s">
        <v>23</v>
      </c>
    </row>
    <row r="13" customFormat="false" ht="16.5" hidden="false" customHeight="true" outlineLevel="0" collapsed="false">
      <c r="B13" s="7" t="s">
        <v>24</v>
      </c>
      <c r="C13" s="14" t="s">
        <v>25</v>
      </c>
      <c r="D13" s="7"/>
      <c r="E13" s="9" t="s">
        <v>26</v>
      </c>
    </row>
    <row r="14" customFormat="false" ht="16.5" hidden="false" customHeight="true" outlineLevel="0" collapsed="false">
      <c r="B14" s="10" t="s">
        <v>27</v>
      </c>
      <c r="C14" s="15" t="s">
        <v>28</v>
      </c>
      <c r="D14" s="10"/>
      <c r="E14" s="12" t="s">
        <v>29</v>
      </c>
    </row>
    <row r="15" customFormat="false" ht="6" hidden="false" customHeight="true" outlineLevel="0" collapsed="false"/>
    <row r="16" customFormat="false" ht="21.75" hidden="false" customHeight="true" outlineLevel="0" collapsed="false">
      <c r="B16" s="5" t="s">
        <v>30</v>
      </c>
      <c r="C16" s="5"/>
      <c r="D16" s="5"/>
      <c r="E16" s="5"/>
    </row>
    <row r="17" customFormat="false" ht="18" hidden="false" customHeight="true" outlineLevel="0" collapsed="false">
      <c r="B17" s="6" t="s">
        <v>4</v>
      </c>
      <c r="C17" s="6" t="s">
        <v>5</v>
      </c>
      <c r="D17" s="6" t="s">
        <v>6</v>
      </c>
      <c r="E17" s="6" t="s">
        <v>7</v>
      </c>
    </row>
    <row r="18" customFormat="false" ht="16.5" hidden="false" customHeight="true" outlineLevel="0" collapsed="false">
      <c r="B18" s="7" t="s">
        <v>31</v>
      </c>
      <c r="C18" s="8" t="n">
        <v>85000</v>
      </c>
      <c r="D18" s="7" t="s">
        <v>32</v>
      </c>
      <c r="E18" s="9" t="s">
        <v>33</v>
      </c>
    </row>
    <row r="19" customFormat="false" ht="16.5" hidden="false" customHeight="true" outlineLevel="0" collapsed="false">
      <c r="B19" s="10" t="s">
        <v>34</v>
      </c>
      <c r="C19" s="11" t="n">
        <v>105000</v>
      </c>
      <c r="D19" s="10" t="s">
        <v>32</v>
      </c>
      <c r="E19" s="12" t="s">
        <v>35</v>
      </c>
    </row>
    <row r="20" customFormat="false" ht="16.5" hidden="false" customHeight="true" outlineLevel="0" collapsed="false">
      <c r="B20" s="7" t="s">
        <v>36</v>
      </c>
      <c r="C20" s="8" t="n">
        <v>125000</v>
      </c>
      <c r="D20" s="7" t="s">
        <v>32</v>
      </c>
      <c r="E20" s="9" t="s">
        <v>37</v>
      </c>
    </row>
    <row r="21" customFormat="false" ht="16.5" hidden="false" customHeight="true" outlineLevel="0" collapsed="false">
      <c r="B21" s="10" t="s">
        <v>38</v>
      </c>
      <c r="C21" s="16" t="n">
        <f aca="false">(C18*18+C19*19+C20*18)/55</f>
        <v>105000</v>
      </c>
      <c r="D21" s="10" t="s">
        <v>32</v>
      </c>
      <c r="E21" s="12" t="s">
        <v>39</v>
      </c>
    </row>
    <row r="22" customFormat="false" ht="16.5" hidden="false" customHeight="true" outlineLevel="0" collapsed="false">
      <c r="B22" s="7" t="s">
        <v>40</v>
      </c>
      <c r="C22" s="13" t="n">
        <f aca="false">C21*C10</f>
        <v>1575000</v>
      </c>
      <c r="D22" s="7" t="s">
        <v>41</v>
      </c>
      <c r="E22" s="9" t="s">
        <v>42</v>
      </c>
    </row>
    <row r="23" customFormat="false" ht="16.5" hidden="false" customHeight="true" outlineLevel="0" collapsed="false">
      <c r="B23" s="10" t="s">
        <v>43</v>
      </c>
      <c r="C23" s="11" t="n">
        <v>50000</v>
      </c>
      <c r="D23" s="10" t="s">
        <v>44</v>
      </c>
      <c r="E23" s="12" t="s">
        <v>45</v>
      </c>
    </row>
    <row r="24" customFormat="false" ht="16.5" hidden="false" customHeight="true" outlineLevel="0" collapsed="false">
      <c r="B24" s="7" t="s">
        <v>46</v>
      </c>
      <c r="C24" s="8" t="n">
        <v>200000</v>
      </c>
      <c r="D24" s="7" t="s">
        <v>44</v>
      </c>
      <c r="E24" s="9" t="s">
        <v>47</v>
      </c>
    </row>
    <row r="25" customFormat="false" ht="16.5" hidden="false" customHeight="true" outlineLevel="0" collapsed="false">
      <c r="B25" s="10" t="s">
        <v>48</v>
      </c>
      <c r="C25" s="11" t="n">
        <v>60000</v>
      </c>
      <c r="D25" s="10" t="s">
        <v>49</v>
      </c>
      <c r="E25" s="12" t="s">
        <v>50</v>
      </c>
    </row>
    <row r="26" customFormat="false" ht="6" hidden="false" customHeight="true" outlineLevel="0" collapsed="false"/>
    <row r="27" customFormat="false" ht="21.75" hidden="false" customHeight="true" outlineLevel="0" collapsed="false">
      <c r="B27" s="5" t="s">
        <v>51</v>
      </c>
      <c r="C27" s="5"/>
      <c r="D27" s="5"/>
      <c r="E27" s="5"/>
    </row>
    <row r="28" customFormat="false" ht="18" hidden="false" customHeight="true" outlineLevel="0" collapsed="false">
      <c r="B28" s="6" t="s">
        <v>4</v>
      </c>
      <c r="C28" s="6" t="s">
        <v>5</v>
      </c>
      <c r="D28" s="6" t="s">
        <v>6</v>
      </c>
      <c r="E28" s="6" t="s">
        <v>7</v>
      </c>
    </row>
    <row r="29" customFormat="false" ht="16.5" hidden="false" customHeight="true" outlineLevel="0" collapsed="false">
      <c r="B29" s="7" t="s">
        <v>52</v>
      </c>
      <c r="C29" s="8" t="n">
        <v>8</v>
      </c>
      <c r="D29" s="7" t="s">
        <v>53</v>
      </c>
      <c r="E29" s="9" t="s">
        <v>54</v>
      </c>
    </row>
    <row r="30" customFormat="false" ht="16.5" hidden="false" customHeight="true" outlineLevel="0" collapsed="false">
      <c r="B30" s="10" t="s">
        <v>55</v>
      </c>
      <c r="C30" s="11" t="n">
        <v>14</v>
      </c>
      <c r="D30" s="10" t="s">
        <v>53</v>
      </c>
      <c r="E30" s="12" t="s">
        <v>56</v>
      </c>
    </row>
    <row r="31" customFormat="false" ht="16.5" hidden="false" customHeight="true" outlineLevel="0" collapsed="false">
      <c r="B31" s="7" t="s">
        <v>57</v>
      </c>
      <c r="C31" s="8" t="n">
        <v>16</v>
      </c>
      <c r="D31" s="7" t="s">
        <v>53</v>
      </c>
      <c r="E31" s="9" t="s">
        <v>58</v>
      </c>
    </row>
    <row r="32" customFormat="false" ht="16.5" hidden="false" customHeight="true" outlineLevel="0" collapsed="false">
      <c r="B32" s="10" t="s">
        <v>59</v>
      </c>
      <c r="C32" s="11" t="n">
        <v>12</v>
      </c>
      <c r="D32" s="10" t="s">
        <v>53</v>
      </c>
      <c r="E32" s="12" t="s">
        <v>60</v>
      </c>
    </row>
    <row r="33" customFormat="false" ht="16.5" hidden="false" customHeight="true" outlineLevel="0" collapsed="false">
      <c r="B33" s="7" t="s">
        <v>61</v>
      </c>
      <c r="C33" s="8" t="n">
        <v>5</v>
      </c>
      <c r="D33" s="7" t="s">
        <v>53</v>
      </c>
      <c r="E33" s="9" t="s">
        <v>62</v>
      </c>
    </row>
    <row r="34" customFormat="false" ht="16.5" hidden="false" customHeight="true" outlineLevel="0" collapsed="false">
      <c r="B34" s="10" t="s">
        <v>63</v>
      </c>
      <c r="C34" s="16" t="n">
        <f aca="false">C29+C30+C31+C32+C33</f>
        <v>55</v>
      </c>
      <c r="D34" s="10" t="s">
        <v>64</v>
      </c>
      <c r="E34" s="12" t="s">
        <v>65</v>
      </c>
    </row>
    <row r="35" customFormat="false" ht="6" hidden="false" customHeight="true" outlineLevel="0" collapsed="false"/>
    <row r="36" customFormat="false" ht="21.75" hidden="false" customHeight="true" outlineLevel="0" collapsed="false">
      <c r="B36" s="5" t="s">
        <v>66</v>
      </c>
      <c r="C36" s="5"/>
      <c r="D36" s="5"/>
      <c r="E36" s="5"/>
    </row>
    <row r="37" customFormat="false" ht="18" hidden="false" customHeight="true" outlineLevel="0" collapsed="false">
      <c r="B37" s="6" t="s">
        <v>4</v>
      </c>
      <c r="C37" s="6" t="s">
        <v>5</v>
      </c>
      <c r="D37" s="6" t="s">
        <v>6</v>
      </c>
      <c r="E37" s="6" t="s">
        <v>7</v>
      </c>
    </row>
    <row r="38" customFormat="false" ht="16.5" hidden="false" customHeight="true" outlineLevel="0" collapsed="false">
      <c r="B38" s="7" t="s">
        <v>67</v>
      </c>
      <c r="C38" s="8" t="n">
        <v>12000000</v>
      </c>
      <c r="D38" s="7" t="s">
        <v>41</v>
      </c>
      <c r="E38" s="9" t="s">
        <v>68</v>
      </c>
    </row>
    <row r="39" customFormat="false" ht="16.5" hidden="false" customHeight="true" outlineLevel="0" collapsed="false">
      <c r="B39" s="10" t="s">
        <v>69</v>
      </c>
      <c r="C39" s="11" t="n">
        <v>3500000</v>
      </c>
      <c r="D39" s="10" t="s">
        <v>41</v>
      </c>
      <c r="E39" s="12" t="s">
        <v>70</v>
      </c>
    </row>
    <row r="40" customFormat="false" ht="16.5" hidden="false" customHeight="true" outlineLevel="0" collapsed="false">
      <c r="B40" s="7" t="s">
        <v>71</v>
      </c>
      <c r="C40" s="8" t="n">
        <v>7500000</v>
      </c>
      <c r="D40" s="7" t="s">
        <v>41</v>
      </c>
      <c r="E40" s="9" t="s">
        <v>72</v>
      </c>
    </row>
    <row r="41" customFormat="false" ht="16.5" hidden="false" customHeight="true" outlineLevel="0" collapsed="false">
      <c r="B41" s="10" t="s">
        <v>73</v>
      </c>
      <c r="C41" s="11" t="n">
        <v>4000000</v>
      </c>
      <c r="D41" s="10" t="s">
        <v>41</v>
      </c>
      <c r="E41" s="12" t="s">
        <v>74</v>
      </c>
    </row>
    <row r="42" customFormat="false" ht="16.5" hidden="false" customHeight="true" outlineLevel="0" collapsed="false">
      <c r="B42" s="7" t="s">
        <v>75</v>
      </c>
      <c r="C42" s="8" t="n">
        <v>1500000</v>
      </c>
      <c r="D42" s="7" t="s">
        <v>41</v>
      </c>
      <c r="E42" s="9" t="s">
        <v>76</v>
      </c>
    </row>
    <row r="43" customFormat="false" ht="16.5" hidden="false" customHeight="true" outlineLevel="0" collapsed="false">
      <c r="B43" s="10" t="s">
        <v>77</v>
      </c>
      <c r="C43" s="11" t="n">
        <v>8000000</v>
      </c>
      <c r="D43" s="10" t="s">
        <v>41</v>
      </c>
      <c r="E43" s="12" t="s">
        <v>78</v>
      </c>
    </row>
    <row r="44" customFormat="false" ht="16.5" hidden="false" customHeight="true" outlineLevel="0" collapsed="false">
      <c r="B44" s="7" t="s">
        <v>79</v>
      </c>
      <c r="C44" s="8" t="n">
        <v>5500000</v>
      </c>
      <c r="D44" s="7" t="s">
        <v>41</v>
      </c>
      <c r="E44" s="9" t="s">
        <v>80</v>
      </c>
    </row>
    <row r="45" customFormat="false" ht="16.5" hidden="false" customHeight="true" outlineLevel="0" collapsed="false">
      <c r="B45" s="10" t="s">
        <v>81</v>
      </c>
      <c r="C45" s="11" t="n">
        <v>3000000</v>
      </c>
      <c r="D45" s="10" t="s">
        <v>41</v>
      </c>
      <c r="E45" s="12" t="s">
        <v>82</v>
      </c>
    </row>
    <row r="46" customFormat="false" ht="16.5" hidden="false" customHeight="true" outlineLevel="0" collapsed="false">
      <c r="B46" s="7" t="s">
        <v>83</v>
      </c>
      <c r="C46" s="13" t="n">
        <f aca="false">0.15*(C38+C39+C40+C41+C42+C43+C44+C45)</f>
        <v>6750000</v>
      </c>
      <c r="D46" s="7" t="s">
        <v>41</v>
      </c>
      <c r="E46" s="9" t="s">
        <v>84</v>
      </c>
    </row>
    <row r="47" customFormat="false" ht="16.5" hidden="false" customHeight="true" outlineLevel="0" collapsed="false">
      <c r="B47" s="10" t="s">
        <v>85</v>
      </c>
      <c r="C47" s="16" t="n">
        <f aca="false">C38+C39+C40+C41+C42+C43+C44+C45+C46</f>
        <v>51750000</v>
      </c>
      <c r="D47" s="10" t="s">
        <v>41</v>
      </c>
      <c r="E47" s="12"/>
    </row>
    <row r="48" customFormat="false" ht="6" hidden="false" customHeight="true" outlineLevel="0" collapsed="false"/>
    <row r="49" customFormat="false" ht="21.75" hidden="false" customHeight="true" outlineLevel="0" collapsed="false">
      <c r="B49" s="5" t="s">
        <v>86</v>
      </c>
      <c r="C49" s="5"/>
      <c r="D49" s="5"/>
      <c r="E49" s="5"/>
    </row>
    <row r="50" customFormat="false" ht="18" hidden="false" customHeight="true" outlineLevel="0" collapsed="false">
      <c r="B50" s="6" t="s">
        <v>4</v>
      </c>
      <c r="C50" s="6" t="s">
        <v>5</v>
      </c>
      <c r="D50" s="6" t="s">
        <v>6</v>
      </c>
      <c r="E50" s="6" t="s">
        <v>7</v>
      </c>
    </row>
    <row r="51" customFormat="false" ht="16.5" hidden="false" customHeight="true" outlineLevel="0" collapsed="false">
      <c r="B51" s="7" t="s">
        <v>87</v>
      </c>
      <c r="C51" s="8" t="n">
        <v>2400000</v>
      </c>
      <c r="D51" s="7" t="s">
        <v>88</v>
      </c>
      <c r="E51" s="9" t="s">
        <v>89</v>
      </c>
    </row>
    <row r="52" customFormat="false" ht="16.5" hidden="false" customHeight="true" outlineLevel="0" collapsed="false">
      <c r="B52" s="10" t="s">
        <v>90</v>
      </c>
      <c r="C52" s="11" t="n">
        <v>3000000</v>
      </c>
      <c r="D52" s="10" t="s">
        <v>88</v>
      </c>
      <c r="E52" s="12" t="s">
        <v>91</v>
      </c>
    </row>
    <row r="53" customFormat="false" ht="16.5" hidden="false" customHeight="true" outlineLevel="0" collapsed="false">
      <c r="B53" s="7" t="s">
        <v>92</v>
      </c>
      <c r="C53" s="8" t="n">
        <v>800000</v>
      </c>
      <c r="D53" s="7" t="s">
        <v>88</v>
      </c>
      <c r="E53" s="9" t="s">
        <v>93</v>
      </c>
    </row>
    <row r="54" customFormat="false" ht="16.5" hidden="false" customHeight="true" outlineLevel="0" collapsed="false">
      <c r="B54" s="10" t="s">
        <v>94</v>
      </c>
      <c r="C54" s="11" t="n">
        <v>1200000</v>
      </c>
      <c r="D54" s="10" t="s">
        <v>88</v>
      </c>
      <c r="E54" s="12" t="s">
        <v>95</v>
      </c>
    </row>
    <row r="55" customFormat="false" ht="16.5" hidden="false" customHeight="true" outlineLevel="0" collapsed="false">
      <c r="B55" s="7" t="s">
        <v>96</v>
      </c>
      <c r="C55" s="8" t="n">
        <v>1800000</v>
      </c>
      <c r="D55" s="7" t="s">
        <v>88</v>
      </c>
      <c r="E55" s="9" t="s">
        <v>97</v>
      </c>
    </row>
    <row r="56" customFormat="false" ht="16.5" hidden="false" customHeight="true" outlineLevel="0" collapsed="false">
      <c r="B56" s="10" t="s">
        <v>98</v>
      </c>
      <c r="C56" s="11" t="n">
        <v>600000</v>
      </c>
      <c r="D56" s="10" t="s">
        <v>88</v>
      </c>
      <c r="E56" s="12"/>
    </row>
    <row r="57" customFormat="false" ht="16.5" hidden="false" customHeight="true" outlineLevel="0" collapsed="false">
      <c r="B57" s="7" t="s">
        <v>99</v>
      </c>
      <c r="C57" s="17" t="n">
        <f aca="false">C51+C52+C53+C54+C55+C56</f>
        <v>9800000</v>
      </c>
      <c r="D57" s="7" t="s">
        <v>88</v>
      </c>
      <c r="E57" s="9"/>
    </row>
    <row r="58" customFormat="false" ht="6" hidden="false" customHeight="true" outlineLevel="0" collapsed="false">
      <c r="C58" s="18"/>
    </row>
    <row r="59" customFormat="false" ht="21.75" hidden="false" customHeight="true" outlineLevel="0" collapsed="false">
      <c r="B59" s="5" t="s">
        <v>100</v>
      </c>
      <c r="C59" s="5"/>
      <c r="D59" s="5"/>
      <c r="E59" s="5"/>
    </row>
    <row r="60" customFormat="false" ht="18" hidden="false" customHeight="true" outlineLevel="0" collapsed="false">
      <c r="B60" s="6" t="s">
        <v>4</v>
      </c>
      <c r="C60" s="19" t="s">
        <v>5</v>
      </c>
      <c r="D60" s="6" t="s">
        <v>6</v>
      </c>
      <c r="E60" s="6" t="s">
        <v>7</v>
      </c>
    </row>
    <row r="61" customFormat="false" ht="16.5" hidden="false" customHeight="true" outlineLevel="0" collapsed="false">
      <c r="B61" s="7" t="s">
        <v>101</v>
      </c>
      <c r="C61" s="20" t="n">
        <f aca="false">C47+C57</f>
        <v>61550000</v>
      </c>
      <c r="D61" s="7" t="s">
        <v>41</v>
      </c>
      <c r="E61" s="9" t="s">
        <v>102</v>
      </c>
    </row>
    <row r="62" customFormat="false" ht="16.5" hidden="false" customHeight="true" outlineLevel="0" collapsed="false">
      <c r="B62" s="10" t="s">
        <v>103</v>
      </c>
      <c r="C62" s="21" t="n">
        <v>0.2</v>
      </c>
      <c r="D62" s="10" t="s">
        <v>104</v>
      </c>
      <c r="E62" s="12" t="s">
        <v>105</v>
      </c>
    </row>
    <row r="63" customFormat="false" ht="16.5" hidden="false" customHeight="true" outlineLevel="0" collapsed="false">
      <c r="B63" s="7" t="s">
        <v>106</v>
      </c>
      <c r="C63" s="22" t="n">
        <v>0.15</v>
      </c>
      <c r="D63" s="7" t="s">
        <v>104</v>
      </c>
      <c r="E63" s="9" t="s">
        <v>107</v>
      </c>
    </row>
    <row r="64" customFormat="false" ht="16.5" hidden="false" customHeight="true" outlineLevel="0" collapsed="false">
      <c r="B64" s="10" t="s">
        <v>108</v>
      </c>
      <c r="C64" s="21" t="n">
        <v>0.12</v>
      </c>
      <c r="D64" s="10" t="s">
        <v>104</v>
      </c>
      <c r="E64" s="12" t="s">
        <v>109</v>
      </c>
    </row>
    <row r="65" customFormat="false" ht="16.5" hidden="false" customHeight="true" outlineLevel="0" collapsed="false">
      <c r="B65" s="7" t="s">
        <v>110</v>
      </c>
      <c r="C65" s="22" t="n">
        <v>0.35</v>
      </c>
      <c r="D65" s="7" t="s">
        <v>104</v>
      </c>
      <c r="E65" s="9" t="s">
        <v>111</v>
      </c>
    </row>
    <row r="66" customFormat="false" ht="6" hidden="false" customHeight="true" outlineLevel="0" collapsed="false"/>
  </sheetData>
  <mergeCells count="9">
    <mergeCell ref="B1:E1"/>
    <mergeCell ref="B2:E2"/>
    <mergeCell ref="B3:E3"/>
    <mergeCell ref="B5:E5"/>
    <mergeCell ref="B16:E16"/>
    <mergeCell ref="B27:E27"/>
    <mergeCell ref="B36:E36"/>
    <mergeCell ref="B49:E49"/>
    <mergeCell ref="B59:E5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6"/>
    <col collapsed="false" customWidth="true" hidden="false" outlineLevel="0" max="7" min="3" style="1" width="16"/>
    <col collapsed="false" customWidth="true" hidden="false" outlineLevel="0" max="8" min="8" style="1" width="18"/>
  </cols>
  <sheetData>
    <row r="1" customFormat="false" ht="31.5" hidden="false" customHeight="true" outlineLevel="0" collapsed="false">
      <c r="B1" s="23" t="s">
        <v>112</v>
      </c>
      <c r="C1" s="23"/>
      <c r="D1" s="23"/>
      <c r="E1" s="23"/>
      <c r="F1" s="23"/>
      <c r="G1" s="23"/>
      <c r="H1" s="23"/>
    </row>
    <row r="2" customFormat="false" ht="19.5" hidden="false" customHeight="true" outlineLevel="0" collapsed="false">
      <c r="B2" s="24" t="s">
        <v>113</v>
      </c>
      <c r="C2" s="25" t="s">
        <v>114</v>
      </c>
      <c r="D2" s="25" t="s">
        <v>115</v>
      </c>
      <c r="E2" s="25" t="s">
        <v>116</v>
      </c>
      <c r="F2" s="25" t="s">
        <v>117</v>
      </c>
      <c r="G2" s="25" t="s">
        <v>118</v>
      </c>
      <c r="H2" s="26" t="s">
        <v>119</v>
      </c>
    </row>
    <row r="3" customFormat="false" ht="15.75" hidden="false" customHeight="true" outlineLevel="0" collapsed="false">
      <c r="B3" s="24"/>
      <c r="C3" s="27" t="s">
        <v>120</v>
      </c>
      <c r="D3" s="27" t="s">
        <v>121</v>
      </c>
      <c r="E3" s="27" t="s">
        <v>122</v>
      </c>
      <c r="F3" s="27" t="s">
        <v>123</v>
      </c>
      <c r="G3" s="27" t="s">
        <v>124</v>
      </c>
      <c r="H3" s="27" t="s">
        <v>125</v>
      </c>
    </row>
    <row r="4" customFormat="false" ht="19.5" hidden="false" customHeight="true" outlineLevel="0" collapsed="false">
      <c r="B4" s="28" t="s">
        <v>126</v>
      </c>
      <c r="C4" s="28"/>
      <c r="D4" s="28"/>
      <c r="E4" s="28"/>
      <c r="F4" s="28"/>
      <c r="G4" s="28"/>
      <c r="H4" s="28"/>
    </row>
    <row r="5" customFormat="false" ht="16.5" hidden="false" customHeight="true" outlineLevel="0" collapsed="false">
      <c r="B5" s="29" t="s">
        <v>127</v>
      </c>
      <c r="C5" s="30" t="n">
        <f aca="false">'1. Вводные'!C29</f>
        <v>8</v>
      </c>
      <c r="D5" s="30" t="n">
        <f aca="false">'1. Вводные'!C30</f>
        <v>14</v>
      </c>
      <c r="E5" s="30" t="n">
        <f aca="false">'1. Вводные'!C31</f>
        <v>16</v>
      </c>
      <c r="F5" s="30" t="n">
        <f aca="false">'1. Вводные'!C32</f>
        <v>12</v>
      </c>
      <c r="G5" s="30" t="n">
        <f aca="false">'1. Вводные'!C33</f>
        <v>5</v>
      </c>
      <c r="H5" s="31" t="n">
        <f aca="false">SUM(C5:G5)</f>
        <v>55</v>
      </c>
    </row>
    <row r="6" customFormat="false" ht="16.5" hidden="false" customHeight="true" outlineLevel="0" collapsed="false">
      <c r="B6" s="32" t="s">
        <v>128</v>
      </c>
      <c r="C6" s="33" t="n">
        <f aca="false">C5</f>
        <v>8</v>
      </c>
      <c r="D6" s="33" t="n">
        <f aca="false">C6+D5</f>
        <v>22</v>
      </c>
      <c r="E6" s="33" t="n">
        <f aca="false">D6+E5</f>
        <v>38</v>
      </c>
      <c r="F6" s="33" t="n">
        <f aca="false">E6+F5</f>
        <v>50</v>
      </c>
      <c r="G6" s="33" t="n">
        <f aca="false">F6+G5</f>
        <v>55</v>
      </c>
      <c r="H6" s="34" t="n">
        <f aca="false">SUM(C6:G6)</f>
        <v>173</v>
      </c>
    </row>
    <row r="7" customFormat="false" ht="4.5" hidden="false" customHeight="true" outlineLevel="0" collapsed="false"/>
    <row r="8" customFormat="false" ht="19.5" hidden="false" customHeight="true" outlineLevel="0" collapsed="false">
      <c r="B8" s="28" t="s">
        <v>129</v>
      </c>
      <c r="C8" s="28"/>
      <c r="D8" s="28"/>
      <c r="E8" s="28"/>
      <c r="F8" s="28"/>
      <c r="G8" s="28"/>
      <c r="H8" s="28"/>
    </row>
    <row r="9" customFormat="false" ht="16.5" hidden="false" customHeight="true" outlineLevel="0" collapsed="false">
      <c r="B9" s="35" t="s">
        <v>130</v>
      </c>
      <c r="C9" s="36" t="n">
        <f aca="false">C5*'1. Вводные'!C10*'1. Вводные'!C18</f>
        <v>10200000</v>
      </c>
      <c r="D9" s="36" t="n">
        <f aca="false">MIN(D5,MAX(0,18-C6))*'1. Вводные'!C10*'1. Вводные'!C18+MAX(0,D5-MAX(0,18-C6))*'1. Вводные'!C10*'1. Вводные'!C19</f>
        <v>19050000</v>
      </c>
      <c r="E9" s="36" t="n">
        <f aca="false">MAX(0,MIN(E5,MAX(0,37-D6)))*'1. Вводные'!C10*'1. Вводные'!C19+MAX(0,E5-MAX(0,37-D6))*'1. Вводные'!C10*'1. Вводные'!C20</f>
        <v>25500000</v>
      </c>
      <c r="F9" s="36" t="n">
        <f aca="false">MAX(0,MIN(F5,MAX(0,37-E6)))*'1. Вводные'!C10*'1. Вводные'!C19+MAX(0,F5-MAX(0,37-E6))*'1. Вводные'!C10*'1. Вводные'!C20</f>
        <v>22500000</v>
      </c>
      <c r="G9" s="36" t="n">
        <f aca="false">G5*'1. Вводные'!C10*'1. Вводные'!C20</f>
        <v>9375000</v>
      </c>
      <c r="H9" s="36" t="n">
        <f aca="false">SUM(C9:G9)</f>
        <v>86625000</v>
      </c>
    </row>
    <row r="10" customFormat="false" ht="16.5" hidden="false" customHeight="true" outlineLevel="0" collapsed="false">
      <c r="B10" s="32" t="s">
        <v>131</v>
      </c>
      <c r="C10" s="33" t="n">
        <f aca="false">C5*'1. Вводные'!C23</f>
        <v>400000</v>
      </c>
      <c r="D10" s="33" t="n">
        <f aca="false">D5*'1. Вводные'!C23</f>
        <v>700000</v>
      </c>
      <c r="E10" s="33" t="n">
        <f aca="false">E5*'1. Вводные'!C23</f>
        <v>800000</v>
      </c>
      <c r="F10" s="33" t="n">
        <f aca="false">F5*'1. Вводные'!C23</f>
        <v>600000</v>
      </c>
      <c r="G10" s="33" t="n">
        <f aca="false">G5*'1. Вводные'!C23</f>
        <v>250000</v>
      </c>
      <c r="H10" s="34" t="n">
        <f aca="false">SUM(C10:G10)</f>
        <v>2750000</v>
      </c>
    </row>
    <row r="11" customFormat="false" ht="16.5" hidden="false" customHeight="true" outlineLevel="0" collapsed="false">
      <c r="B11" s="29" t="s">
        <v>132</v>
      </c>
      <c r="C11" s="36" t="n">
        <f aca="false">C5*'1. Вводные'!C24</f>
        <v>1600000</v>
      </c>
      <c r="D11" s="36" t="n">
        <f aca="false">D5*'1. Вводные'!C24</f>
        <v>2800000</v>
      </c>
      <c r="E11" s="36" t="n">
        <f aca="false">E5*'1. Вводные'!C24</f>
        <v>3200000</v>
      </c>
      <c r="F11" s="36" t="n">
        <f aca="false">F5*'1. Вводные'!C24</f>
        <v>2400000</v>
      </c>
      <c r="G11" s="36" t="n">
        <f aca="false">G5*'1. Вводные'!C24</f>
        <v>1000000</v>
      </c>
      <c r="H11" s="31" t="n">
        <f aca="false">SUM(C11:G11)</f>
        <v>11000000</v>
      </c>
    </row>
    <row r="12" customFormat="false" ht="16.5" hidden="false" customHeight="true" outlineLevel="0" collapsed="false">
      <c r="B12" s="32" t="s">
        <v>133</v>
      </c>
      <c r="C12" s="33" t="n">
        <f aca="false">0</f>
        <v>0</v>
      </c>
      <c r="D12" s="33" t="n">
        <f aca="false">0</f>
        <v>0</v>
      </c>
      <c r="E12" s="33" t="n">
        <f aca="false">D6*'1. Вводные'!C25</f>
        <v>1320000</v>
      </c>
      <c r="F12" s="33" t="n">
        <f aca="false">E6*'1. Вводные'!C25</f>
        <v>2280000</v>
      </c>
      <c r="G12" s="33" t="n">
        <f aca="false">F6*'1. Вводные'!C25</f>
        <v>3000000</v>
      </c>
      <c r="H12" s="33" t="n">
        <f aca="false">SUM(C12:G12)</f>
        <v>6600000</v>
      </c>
    </row>
    <row r="13" customFormat="false" ht="16.5" hidden="false" customHeight="true" outlineLevel="0" collapsed="false">
      <c r="B13" s="37" t="s">
        <v>134</v>
      </c>
      <c r="C13" s="38" t="n">
        <f aca="false">C9+C10+C11+C12</f>
        <v>12200000</v>
      </c>
      <c r="D13" s="38" t="n">
        <f aca="false">D9+D10+D11+D12</f>
        <v>22550000</v>
      </c>
      <c r="E13" s="38" t="n">
        <f aca="false">E9+E10+E11+E12</f>
        <v>30820000</v>
      </c>
      <c r="F13" s="38" t="n">
        <f aca="false">F9+F10+F11+F12</f>
        <v>27780000</v>
      </c>
      <c r="G13" s="38" t="n">
        <f aca="false">G9+G10+G11+G12</f>
        <v>13625000</v>
      </c>
      <c r="H13" s="39" t="n">
        <f aca="false">SUM(C13:G13)</f>
        <v>106975000</v>
      </c>
    </row>
    <row r="14" customFormat="false" ht="4.5" hidden="false" customHeight="true" outlineLevel="0" collapsed="false"/>
    <row r="15" customFormat="false" ht="19.5" hidden="false" customHeight="true" outlineLevel="0" collapsed="false">
      <c r="B15" s="28" t="s">
        <v>135</v>
      </c>
      <c r="C15" s="28"/>
      <c r="D15" s="28"/>
      <c r="E15" s="28"/>
      <c r="F15" s="28"/>
      <c r="G15" s="28"/>
      <c r="H15" s="28"/>
    </row>
    <row r="16" customFormat="false" ht="16.5" hidden="false" customHeight="true" outlineLevel="0" collapsed="false">
      <c r="B16" s="40" t="s">
        <v>136</v>
      </c>
      <c r="C16" s="41" t="n">
        <f aca="false">'1. Вводные'!C38</f>
        <v>12000000</v>
      </c>
      <c r="D16" s="41" t="n">
        <f aca="false">0</f>
        <v>0</v>
      </c>
      <c r="E16" s="41" t="n">
        <f aca="false">0</f>
        <v>0</v>
      </c>
      <c r="F16" s="41" t="n">
        <f aca="false">0</f>
        <v>0</v>
      </c>
      <c r="G16" s="41" t="n">
        <f aca="false">0</f>
        <v>0</v>
      </c>
      <c r="H16" s="42" t="n">
        <f aca="false">SUM(C16:G16)</f>
        <v>12000000</v>
      </c>
    </row>
    <row r="17" customFormat="false" ht="16.5" hidden="false" customHeight="true" outlineLevel="0" collapsed="false">
      <c r="B17" s="40" t="s">
        <v>69</v>
      </c>
      <c r="C17" s="41" t="n">
        <f aca="false">'1. Вводные'!C39</f>
        <v>3500000</v>
      </c>
      <c r="D17" s="41" t="n">
        <f aca="false">0</f>
        <v>0</v>
      </c>
      <c r="E17" s="41" t="n">
        <f aca="false">0</f>
        <v>0</v>
      </c>
      <c r="F17" s="41" t="n">
        <f aca="false">0</f>
        <v>0</v>
      </c>
      <c r="G17" s="41" t="n">
        <f aca="false">0</f>
        <v>0</v>
      </c>
      <c r="H17" s="42" t="n">
        <f aca="false">SUM(C17:G17)</f>
        <v>3500000</v>
      </c>
    </row>
    <row r="18" customFormat="false" ht="16.5" hidden="false" customHeight="true" outlineLevel="0" collapsed="false">
      <c r="B18" s="40" t="s">
        <v>137</v>
      </c>
      <c r="C18" s="41" t="n">
        <f aca="false">'1. Вводные'!C40*0.5</f>
        <v>3750000</v>
      </c>
      <c r="D18" s="41" t="n">
        <f aca="false">'1. Вводные'!C40*0.5</f>
        <v>3750000</v>
      </c>
      <c r="E18" s="41" t="n">
        <f aca="false">0</f>
        <v>0</v>
      </c>
      <c r="F18" s="41" t="n">
        <f aca="false">0</f>
        <v>0</v>
      </c>
      <c r="G18" s="41" t="n">
        <f aca="false">0</f>
        <v>0</v>
      </c>
      <c r="H18" s="42" t="n">
        <f aca="false">SUM(C18:G18)</f>
        <v>7500000</v>
      </c>
    </row>
    <row r="19" customFormat="false" ht="16.5" hidden="false" customHeight="true" outlineLevel="0" collapsed="false">
      <c r="B19" s="40" t="s">
        <v>138</v>
      </c>
      <c r="C19" s="41" t="n">
        <f aca="false">('1. Вводные'!C41+'1. Вводные'!C42)*0.5</f>
        <v>2750000</v>
      </c>
      <c r="D19" s="41" t="n">
        <f aca="false">('1. Вводные'!C41+'1. Вводные'!C42)*0.5</f>
        <v>2750000</v>
      </c>
      <c r="E19" s="41" t="n">
        <f aca="false">0</f>
        <v>0</v>
      </c>
      <c r="F19" s="41" t="n">
        <f aca="false">0</f>
        <v>0</v>
      </c>
      <c r="G19" s="41" t="n">
        <f aca="false">0</f>
        <v>0</v>
      </c>
      <c r="H19" s="42" t="n">
        <f aca="false">SUM(C19:G19)</f>
        <v>5500000</v>
      </c>
    </row>
    <row r="20" customFormat="false" ht="16.5" hidden="false" customHeight="true" outlineLevel="0" collapsed="false">
      <c r="B20" s="40" t="s">
        <v>139</v>
      </c>
      <c r="C20" s="41" t="n">
        <f aca="false">'1. Вводные'!C43*0.5</f>
        <v>4000000</v>
      </c>
      <c r="D20" s="41" t="n">
        <f aca="false">'1. Вводные'!C43*0.5</f>
        <v>4000000</v>
      </c>
      <c r="E20" s="41" t="n">
        <f aca="false">0</f>
        <v>0</v>
      </c>
      <c r="F20" s="41" t="n">
        <f aca="false">0</f>
        <v>0</v>
      </c>
      <c r="G20" s="41" t="n">
        <f aca="false">0</f>
        <v>0</v>
      </c>
      <c r="H20" s="42" t="n">
        <f aca="false">SUM(C20:G20)</f>
        <v>8000000</v>
      </c>
    </row>
    <row r="21" customFormat="false" ht="16.5" hidden="false" customHeight="true" outlineLevel="0" collapsed="false">
      <c r="B21" s="40" t="s">
        <v>140</v>
      </c>
      <c r="C21" s="41" t="n">
        <f aca="false">'1. Вводные'!C44</f>
        <v>5500000</v>
      </c>
      <c r="D21" s="41" t="n">
        <f aca="false">0</f>
        <v>0</v>
      </c>
      <c r="E21" s="41" t="n">
        <f aca="false">0</f>
        <v>0</v>
      </c>
      <c r="F21" s="41" t="n">
        <f aca="false">0</f>
        <v>0</v>
      </c>
      <c r="G21" s="41" t="n">
        <f aca="false">0</f>
        <v>0</v>
      </c>
      <c r="H21" s="42" t="n">
        <f aca="false">SUM(C21:G21)</f>
        <v>5500000</v>
      </c>
    </row>
    <row r="22" customFormat="false" ht="16.5" hidden="false" customHeight="true" outlineLevel="0" collapsed="false">
      <c r="B22" s="40" t="s">
        <v>141</v>
      </c>
      <c r="C22" s="41" t="n">
        <f aca="false">0</f>
        <v>0</v>
      </c>
      <c r="D22" s="41" t="n">
        <f aca="false">'1. Вводные'!C45</f>
        <v>3000000</v>
      </c>
      <c r="E22" s="41" t="n">
        <f aca="false">0</f>
        <v>0</v>
      </c>
      <c r="F22" s="41" t="n">
        <f aca="false">0</f>
        <v>0</v>
      </c>
      <c r="G22" s="41" t="n">
        <f aca="false">0</f>
        <v>0</v>
      </c>
      <c r="H22" s="42" t="n">
        <f aca="false">SUM(C22:G22)</f>
        <v>3000000</v>
      </c>
    </row>
    <row r="23" customFormat="false" ht="16.5" hidden="false" customHeight="true" outlineLevel="0" collapsed="false">
      <c r="B23" s="40" t="s">
        <v>142</v>
      </c>
      <c r="C23" s="41" t="n">
        <f aca="false">'1. Вводные'!C46*0.5</f>
        <v>3375000</v>
      </c>
      <c r="D23" s="41" t="n">
        <f aca="false">'1. Вводные'!C46*0.5</f>
        <v>3375000</v>
      </c>
      <c r="E23" s="41" t="n">
        <f aca="false">0</f>
        <v>0</v>
      </c>
      <c r="F23" s="41" t="n">
        <f aca="false">0</f>
        <v>0</v>
      </c>
      <c r="G23" s="41" t="n">
        <f aca="false">0</f>
        <v>0</v>
      </c>
      <c r="H23" s="42" t="n">
        <f aca="false">SUM(C23:G23)</f>
        <v>6750000</v>
      </c>
    </row>
    <row r="24" customFormat="false" ht="16.5" hidden="false" customHeight="true" outlineLevel="0" collapsed="false">
      <c r="B24" s="43" t="s">
        <v>85</v>
      </c>
      <c r="C24" s="44" t="n">
        <f aca="false">SUM(C16:C23)</f>
        <v>34875000</v>
      </c>
      <c r="D24" s="44" t="n">
        <f aca="false">SUM(D16:D23)</f>
        <v>16875000</v>
      </c>
      <c r="E24" s="44" t="n">
        <f aca="false">SUM(E16:E23)</f>
        <v>0</v>
      </c>
      <c r="F24" s="44" t="n">
        <f aca="false">SUM(F16:F23)</f>
        <v>0</v>
      </c>
      <c r="G24" s="44" t="n">
        <f aca="false">SUM(G16:G23)</f>
        <v>0</v>
      </c>
      <c r="H24" s="39" t="n">
        <f aca="false">SUM(C24:G24)</f>
        <v>51750000</v>
      </c>
    </row>
    <row r="25" customFormat="false" ht="4.5" hidden="false" customHeight="true" outlineLevel="0" collapsed="false"/>
    <row r="26" customFormat="false" ht="19.5" hidden="false" customHeight="true" outlineLevel="0" collapsed="false">
      <c r="B26" s="28" t="s">
        <v>143</v>
      </c>
      <c r="C26" s="28"/>
      <c r="D26" s="28"/>
      <c r="E26" s="28"/>
      <c r="F26" s="28"/>
      <c r="G26" s="28"/>
      <c r="H26" s="28"/>
    </row>
    <row r="27" customFormat="false" ht="16.5" hidden="false" customHeight="true" outlineLevel="0" collapsed="false">
      <c r="B27" s="29" t="s">
        <v>144</v>
      </c>
      <c r="C27" s="30" t="n">
        <f aca="false">'1. Вводные'!C51</f>
        <v>2400000</v>
      </c>
      <c r="D27" s="30" t="n">
        <f aca="false">'1. Вводные'!C51</f>
        <v>2400000</v>
      </c>
      <c r="E27" s="30" t="n">
        <f aca="false">'1. Вводные'!C51</f>
        <v>2400000</v>
      </c>
      <c r="F27" s="30" t="n">
        <f aca="false">'1. Вводные'!C51</f>
        <v>2400000</v>
      </c>
      <c r="G27" s="30" t="n">
        <f aca="false">'1. Вводные'!C51</f>
        <v>2400000</v>
      </c>
      <c r="H27" s="31" t="n">
        <f aca="false">SUM(C27:G27)</f>
        <v>12000000</v>
      </c>
    </row>
    <row r="28" customFormat="false" ht="16.5" hidden="false" customHeight="true" outlineLevel="0" collapsed="false">
      <c r="B28" s="32" t="s">
        <v>90</v>
      </c>
      <c r="C28" s="45" t="n">
        <f aca="false">'1. Вводные'!C52</f>
        <v>3000000</v>
      </c>
      <c r="D28" s="45" t="n">
        <f aca="false">'1. Вводные'!C52</f>
        <v>3000000</v>
      </c>
      <c r="E28" s="45" t="n">
        <f aca="false">'1. Вводные'!C52</f>
        <v>3000000</v>
      </c>
      <c r="F28" s="45" t="n">
        <f aca="false">'1. Вводные'!C52</f>
        <v>3000000</v>
      </c>
      <c r="G28" s="45" t="n">
        <f aca="false">'1. Вводные'!C52</f>
        <v>3000000</v>
      </c>
      <c r="H28" s="34" t="n">
        <f aca="false">SUM(C28:G28)</f>
        <v>15000000</v>
      </c>
    </row>
    <row r="29" customFormat="false" ht="16.5" hidden="false" customHeight="true" outlineLevel="0" collapsed="false">
      <c r="B29" s="29" t="s">
        <v>145</v>
      </c>
      <c r="C29" s="30" t="n">
        <f aca="false">'1. Вводные'!C53</f>
        <v>800000</v>
      </c>
      <c r="D29" s="30" t="n">
        <f aca="false">'1. Вводные'!C53</f>
        <v>800000</v>
      </c>
      <c r="E29" s="30" t="n">
        <f aca="false">'1. Вводные'!C53</f>
        <v>800000</v>
      </c>
      <c r="F29" s="30" t="n">
        <f aca="false">'1. Вводные'!C53</f>
        <v>800000</v>
      </c>
      <c r="G29" s="30" t="n">
        <f aca="false">'1. Вводные'!C53</f>
        <v>800000</v>
      </c>
      <c r="H29" s="31" t="n">
        <f aca="false">SUM(C29:G29)</f>
        <v>4000000</v>
      </c>
    </row>
    <row r="30" customFormat="false" ht="16.5" hidden="false" customHeight="true" outlineLevel="0" collapsed="false">
      <c r="B30" s="32" t="s">
        <v>146</v>
      </c>
      <c r="C30" s="45" t="n">
        <f aca="false">'1. Вводные'!C54</f>
        <v>1200000</v>
      </c>
      <c r="D30" s="45" t="n">
        <f aca="false">'1. Вводные'!C54</f>
        <v>1200000</v>
      </c>
      <c r="E30" s="45" t="n">
        <f aca="false">'1. Вводные'!C54</f>
        <v>1200000</v>
      </c>
      <c r="F30" s="45" t="n">
        <f aca="false">'1. Вводные'!C54</f>
        <v>1200000</v>
      </c>
      <c r="G30" s="45" t="n">
        <f aca="false">'1. Вводные'!C54</f>
        <v>1200000</v>
      </c>
      <c r="H30" s="34" t="n">
        <f aca="false">SUM(C30:G30)</f>
        <v>6000000</v>
      </c>
    </row>
    <row r="31" customFormat="false" ht="16.5" hidden="false" customHeight="true" outlineLevel="0" collapsed="false">
      <c r="B31" s="29" t="s">
        <v>147</v>
      </c>
      <c r="C31" s="30" t="n">
        <f aca="false">'1. Вводные'!C55</f>
        <v>1800000</v>
      </c>
      <c r="D31" s="30" t="n">
        <f aca="false">'1. Вводные'!C55</f>
        <v>1800000</v>
      </c>
      <c r="E31" s="30" t="n">
        <f aca="false">'1. Вводные'!C55</f>
        <v>1800000</v>
      </c>
      <c r="F31" s="30" t="n">
        <f aca="false">'1. Вводные'!C55</f>
        <v>1800000</v>
      </c>
      <c r="G31" s="30" t="n">
        <f aca="false">'1. Вводные'!C55</f>
        <v>1800000</v>
      </c>
      <c r="H31" s="31" t="n">
        <f aca="false">SUM(C31:G31)</f>
        <v>9000000</v>
      </c>
    </row>
    <row r="32" customFormat="false" ht="16.5" hidden="false" customHeight="true" outlineLevel="0" collapsed="false">
      <c r="B32" s="32" t="s">
        <v>148</v>
      </c>
      <c r="C32" s="45" t="n">
        <f aca="false">'1. Вводные'!C56</f>
        <v>600000</v>
      </c>
      <c r="D32" s="45" t="n">
        <f aca="false">'1. Вводные'!C56</f>
        <v>600000</v>
      </c>
      <c r="E32" s="45" t="n">
        <f aca="false">'1. Вводные'!C56</f>
        <v>600000</v>
      </c>
      <c r="F32" s="45" t="n">
        <f aca="false">'1. Вводные'!C56</f>
        <v>600000</v>
      </c>
      <c r="G32" s="45" t="n">
        <f aca="false">'1. Вводные'!C56</f>
        <v>600000</v>
      </c>
      <c r="H32" s="34" t="n">
        <f aca="false">SUM(C32:G32)</f>
        <v>3000000</v>
      </c>
    </row>
    <row r="33" customFormat="false" ht="16.5" hidden="false" customHeight="true" outlineLevel="0" collapsed="false">
      <c r="B33" s="46" t="s">
        <v>149</v>
      </c>
      <c r="C33" s="47" t="n">
        <f aca="false">C27+C28+C29+C30+C31+C32</f>
        <v>9800000</v>
      </c>
      <c r="D33" s="47" t="n">
        <f aca="false">D27+D28+D29+D30+D31+D32</f>
        <v>9800000</v>
      </c>
      <c r="E33" s="47" t="n">
        <f aca="false">E27+E28+E29+E30+E31+E32</f>
        <v>9800000</v>
      </c>
      <c r="F33" s="47" t="n">
        <f aca="false">F27+F28+F29+F30+F31+F32</f>
        <v>9800000</v>
      </c>
      <c r="G33" s="47" t="n">
        <f aca="false">G27+G28+G29+G30+G31+G32</f>
        <v>9800000</v>
      </c>
      <c r="H33" s="39" t="n">
        <f aca="false">SUM(C33:G33)</f>
        <v>49000000</v>
      </c>
    </row>
    <row r="34" customFormat="false" ht="4.5" hidden="false" customHeight="true" outlineLevel="0" collapsed="false"/>
    <row r="35" customFormat="false" ht="19.5" hidden="false" customHeight="true" outlineLevel="0" collapsed="false">
      <c r="B35" s="28" t="s">
        <v>150</v>
      </c>
      <c r="C35" s="28"/>
      <c r="D35" s="28"/>
      <c r="E35" s="28"/>
      <c r="F35" s="28"/>
      <c r="G35" s="28"/>
      <c r="H35" s="28"/>
    </row>
    <row r="36" customFormat="false" ht="16.5" hidden="false" customHeight="true" outlineLevel="0" collapsed="false">
      <c r="B36" s="32" t="s">
        <v>106</v>
      </c>
      <c r="C36" s="33" t="n">
        <f aca="false">MAX(0,(C13-C24-C33)*'1. Вводные'!C63)</f>
        <v>0</v>
      </c>
      <c r="D36" s="33" t="n">
        <f aca="false">MAX(0,(D13-D24-D33)*'1. Вводные'!C63)</f>
        <v>0</v>
      </c>
      <c r="E36" s="33" t="n">
        <f aca="false">MAX(0,(E13-E24-E33)*'1. Вводные'!C63)</f>
        <v>3153000</v>
      </c>
      <c r="F36" s="33" t="n">
        <f aca="false">MAX(0,(F13-F24-F33)*'1. Вводные'!C63)</f>
        <v>2697000</v>
      </c>
      <c r="G36" s="33" t="n">
        <f aca="false">MAX(0,(G13-G24-G33)*'1. Вводные'!C63)</f>
        <v>573750</v>
      </c>
      <c r="H36" s="34" t="n">
        <f aca="false">SUM(C36:G36)</f>
        <v>6423750</v>
      </c>
    </row>
    <row r="37" customFormat="false" ht="4.5" hidden="false" customHeight="true" outlineLevel="0" collapsed="false"/>
    <row r="38" customFormat="false" ht="19.5" hidden="false" customHeight="true" outlineLevel="0" collapsed="false">
      <c r="B38" s="28" t="s">
        <v>151</v>
      </c>
      <c r="C38" s="28"/>
      <c r="D38" s="28"/>
      <c r="E38" s="28"/>
      <c r="F38" s="28"/>
      <c r="G38" s="28"/>
      <c r="H38" s="28"/>
    </row>
    <row r="39" customFormat="false" ht="16.5" hidden="false" customHeight="true" outlineLevel="0" collapsed="false">
      <c r="B39" s="37" t="s">
        <v>152</v>
      </c>
      <c r="C39" s="38" t="n">
        <f aca="false">C13-C24-C33-C36</f>
        <v>-32475000</v>
      </c>
      <c r="D39" s="38" t="n">
        <f aca="false">D13-D24-D33-D36</f>
        <v>-4125000</v>
      </c>
      <c r="E39" s="38" t="n">
        <f aca="false">E13-E24-E33-E36</f>
        <v>17867000</v>
      </c>
      <c r="F39" s="38" t="n">
        <f aca="false">F13-F24-F33-F36</f>
        <v>15283000</v>
      </c>
      <c r="G39" s="38" t="n">
        <f aca="false">G13-G24-G33-G36</f>
        <v>3251250</v>
      </c>
      <c r="H39" s="39" t="n">
        <f aca="false">SUM(C39:G39)</f>
        <v>-198750</v>
      </c>
    </row>
    <row r="40" customFormat="false" ht="16.5" hidden="false" customHeight="true" outlineLevel="0" collapsed="false">
      <c r="B40" s="48" t="s">
        <v>153</v>
      </c>
      <c r="C40" s="49" t="n">
        <f aca="false">C39</f>
        <v>-32475000</v>
      </c>
      <c r="D40" s="49" t="n">
        <f aca="false">C39+D39</f>
        <v>-36600000</v>
      </c>
      <c r="E40" s="49" t="n">
        <f aca="false">D39+E39</f>
        <v>13742000</v>
      </c>
      <c r="F40" s="49" t="n">
        <f aca="false">E39+F39</f>
        <v>33150000</v>
      </c>
      <c r="G40" s="49" t="n">
        <f aca="false">F39+G39</f>
        <v>18534250</v>
      </c>
      <c r="H40" s="39" t="n">
        <f aca="false">SUM(C40:G40)</f>
        <v>-3648750</v>
      </c>
    </row>
    <row r="41" customFormat="false" ht="4.5" hidden="false" customHeight="true" outlineLevel="0" collapsed="false"/>
    <row r="42" customFormat="false" ht="19.5" hidden="false" customHeight="true" outlineLevel="0" collapsed="false">
      <c r="B42" s="28" t="s">
        <v>154</v>
      </c>
      <c r="C42" s="28"/>
      <c r="D42" s="28"/>
      <c r="E42" s="28"/>
      <c r="F42" s="28"/>
      <c r="G42" s="28"/>
      <c r="H42" s="28"/>
    </row>
    <row r="43" customFormat="false" ht="18" hidden="false" customHeight="true" outlineLevel="0" collapsed="false">
      <c r="B43" s="50" t="s">
        <v>155</v>
      </c>
      <c r="C43" s="51" t="n">
        <f aca="false">H13</f>
        <v>106975000</v>
      </c>
      <c r="D43" s="52"/>
      <c r="E43" s="52"/>
      <c r="F43" s="52"/>
      <c r="G43" s="52"/>
      <c r="H43" s="52"/>
    </row>
    <row r="44" customFormat="false" ht="18" hidden="false" customHeight="true" outlineLevel="0" collapsed="false">
      <c r="B44" s="53" t="s">
        <v>156</v>
      </c>
      <c r="C44" s="54" t="n">
        <f aca="false">H24+H33+H36</f>
        <v>107173750</v>
      </c>
      <c r="D44" s="52"/>
      <c r="E44" s="52"/>
      <c r="F44" s="52"/>
      <c r="G44" s="52"/>
      <c r="H44" s="52"/>
    </row>
    <row r="45" customFormat="false" ht="18" hidden="false" customHeight="true" outlineLevel="0" collapsed="false">
      <c r="B45" s="50" t="s">
        <v>157</v>
      </c>
      <c r="C45" s="51" t="n">
        <f aca="false">H39</f>
        <v>-198750</v>
      </c>
      <c r="D45" s="52"/>
      <c r="E45" s="52"/>
      <c r="F45" s="52"/>
      <c r="G45" s="52"/>
      <c r="H45" s="52"/>
    </row>
    <row r="46" customFormat="false" ht="18" hidden="false" customHeight="true" outlineLevel="0" collapsed="false">
      <c r="B46" s="53" t="s">
        <v>158</v>
      </c>
      <c r="C46" s="55" t="n">
        <f aca="false">H39/(H24+H33)</f>
        <v>-0.0019727047146402</v>
      </c>
      <c r="D46" s="52"/>
      <c r="E46" s="52"/>
      <c r="F46" s="52"/>
      <c r="G46" s="52"/>
      <c r="H46" s="52"/>
    </row>
    <row r="47" customFormat="false" ht="18" hidden="false" customHeight="true" outlineLevel="0" collapsed="false">
      <c r="B47" s="50" t="s">
        <v>159</v>
      </c>
      <c r="C47" s="56" t="n">
        <f aca="false">H39/H13</f>
        <v>-0.00185791072680533</v>
      </c>
      <c r="D47" s="52"/>
      <c r="E47" s="52"/>
      <c r="F47" s="52"/>
      <c r="G47" s="52"/>
      <c r="H47" s="52"/>
    </row>
    <row r="48" customFormat="false" ht="18" hidden="false" customHeight="true" outlineLevel="0" collapsed="false">
      <c r="B48" s="53" t="s">
        <v>160</v>
      </c>
      <c r="C48" s="57" t="n">
        <f aca="false">C39/(1+'1. Вводные'!C62)^1+D39/(1+'1. Вводные'!C62)^2+E39/(1+'1. Вводные'!C62)^3+F39/(1+'1. Вводные'!C62)^4+G39/(1+'1. Вводные'!C62)^5</f>
        <v>-10910505.8834877</v>
      </c>
      <c r="D48" s="52"/>
      <c r="E48" s="52"/>
      <c r="F48" s="52"/>
      <c r="G48" s="52"/>
      <c r="H48" s="52"/>
    </row>
    <row r="49" customFormat="false" ht="18" hidden="false" customHeight="true" outlineLevel="0" collapsed="false">
      <c r="B49" s="50" t="s">
        <v>161</v>
      </c>
      <c r="C49" s="51" t="n">
        <f aca="false">H9/55</f>
        <v>1575000</v>
      </c>
      <c r="D49" s="52"/>
      <c r="E49" s="52"/>
      <c r="F49" s="52"/>
      <c r="G49" s="52"/>
      <c r="H49" s="52"/>
    </row>
    <row r="50" customFormat="false" ht="18" hidden="false" customHeight="true" outlineLevel="0" collapsed="false">
      <c r="B50" s="53" t="s">
        <v>162</v>
      </c>
      <c r="C50" s="58" t="n">
        <f aca="false">H39/55</f>
        <v>-3613.63636363636</v>
      </c>
      <c r="D50" s="52"/>
      <c r="E50" s="52"/>
      <c r="F50" s="52"/>
      <c r="G50" s="52"/>
      <c r="H50" s="52"/>
    </row>
  </sheetData>
  <mergeCells count="17">
    <mergeCell ref="B1:H1"/>
    <mergeCell ref="B2:B3"/>
    <mergeCell ref="B4:H4"/>
    <mergeCell ref="B8:H8"/>
    <mergeCell ref="B15:H15"/>
    <mergeCell ref="B26:H26"/>
    <mergeCell ref="B35:H35"/>
    <mergeCell ref="B38:H38"/>
    <mergeCell ref="B42:H42"/>
    <mergeCell ref="D43:H43"/>
    <mergeCell ref="D44:H44"/>
    <mergeCell ref="D45:H45"/>
    <mergeCell ref="D46:H46"/>
    <mergeCell ref="D47:H47"/>
    <mergeCell ref="D48:H48"/>
    <mergeCell ref="D49:H49"/>
    <mergeCell ref="D50:H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2"/>
    <col collapsed="false" customWidth="true" hidden="false" outlineLevel="0" max="6" min="3" style="1" width="18"/>
  </cols>
  <sheetData>
    <row r="1" customFormat="false" ht="30" hidden="false" customHeight="true" outlineLevel="0" collapsed="false">
      <c r="B1" s="59" t="s">
        <v>163</v>
      </c>
      <c r="C1" s="59"/>
      <c r="D1" s="59"/>
      <c r="E1" s="59"/>
      <c r="F1" s="59"/>
    </row>
    <row r="2" customFormat="false" ht="21.75" hidden="false" customHeight="true" outlineLevel="0" collapsed="false">
      <c r="C2" s="60" t="s">
        <v>164</v>
      </c>
      <c r="D2" s="6" t="s">
        <v>165</v>
      </c>
      <c r="E2" s="61" t="s">
        <v>166</v>
      </c>
      <c r="F2" s="62" t="s">
        <v>167</v>
      </c>
    </row>
    <row r="3" customFormat="false" ht="19.5" hidden="false" customHeight="true" outlineLevel="0" collapsed="false">
      <c r="B3" s="5" t="s">
        <v>168</v>
      </c>
      <c r="C3" s="5"/>
      <c r="D3" s="5"/>
      <c r="E3" s="5"/>
      <c r="F3" s="5"/>
    </row>
    <row r="4" customFormat="false" ht="16.5" hidden="false" customHeight="true" outlineLevel="0" collapsed="false">
      <c r="B4" s="7" t="s">
        <v>169</v>
      </c>
      <c r="C4" s="63" t="n">
        <v>70000</v>
      </c>
      <c r="D4" s="64" t="n">
        <v>85000</v>
      </c>
      <c r="E4" s="63" t="n">
        <v>100000</v>
      </c>
      <c r="F4" s="63" t="n">
        <v>60000</v>
      </c>
    </row>
    <row r="5" customFormat="false" ht="16.5" hidden="false" customHeight="true" outlineLevel="0" collapsed="false">
      <c r="B5" s="10" t="s">
        <v>170</v>
      </c>
      <c r="C5" s="65" t="n">
        <v>85000</v>
      </c>
      <c r="D5" s="64" t="n">
        <v>105000</v>
      </c>
      <c r="E5" s="65" t="n">
        <v>130000</v>
      </c>
      <c r="F5" s="65" t="n">
        <v>70000</v>
      </c>
    </row>
    <row r="6" customFormat="false" ht="16.5" hidden="false" customHeight="true" outlineLevel="0" collapsed="false">
      <c r="B6" s="7" t="s">
        <v>171</v>
      </c>
      <c r="C6" s="63" t="n">
        <v>100000</v>
      </c>
      <c r="D6" s="64" t="n">
        <v>125000</v>
      </c>
      <c r="E6" s="63" t="n">
        <v>160000</v>
      </c>
      <c r="F6" s="63" t="n">
        <v>80000</v>
      </c>
    </row>
    <row r="7" customFormat="false" ht="16.5" hidden="false" customHeight="true" outlineLevel="0" collapsed="false">
      <c r="B7" s="10" t="s">
        <v>172</v>
      </c>
      <c r="C7" s="66" t="n">
        <f aca="false">(C4*18+C5*19+C6*18)/55</f>
        <v>85000</v>
      </c>
      <c r="D7" s="64" t="n">
        <f aca="false">(D4*18+D5*19+D6*18)/55</f>
        <v>105000</v>
      </c>
      <c r="E7" s="66" t="n">
        <f aca="false">(E4*18+E5*19+E6*18)/55</f>
        <v>130000</v>
      </c>
      <c r="F7" s="66" t="n">
        <f aca="false">(F4*18+F5*19+F6*18)/55</f>
        <v>70000</v>
      </c>
    </row>
    <row r="8" customFormat="false" ht="19.5" hidden="false" customHeight="true" outlineLevel="0" collapsed="false">
      <c r="B8" s="5" t="s">
        <v>173</v>
      </c>
      <c r="C8" s="5"/>
      <c r="D8" s="5"/>
      <c r="E8" s="5"/>
      <c r="F8" s="5"/>
    </row>
    <row r="9" customFormat="false" ht="16.5" hidden="false" customHeight="true" outlineLevel="0" collapsed="false">
      <c r="B9" s="10" t="s">
        <v>174</v>
      </c>
      <c r="C9" s="65" t="n">
        <v>6</v>
      </c>
      <c r="D9" s="64" t="n">
        <v>11</v>
      </c>
      <c r="E9" s="65" t="n">
        <v>15</v>
      </c>
      <c r="F9" s="65" t="n">
        <v>4</v>
      </c>
    </row>
    <row r="10" customFormat="false" ht="16.5" hidden="false" customHeight="true" outlineLevel="0" collapsed="false">
      <c r="B10" s="7" t="s">
        <v>175</v>
      </c>
      <c r="C10" s="67" t="n">
        <f aca="false">ROUNDUP(55/C9,0)</f>
        <v>10</v>
      </c>
      <c r="D10" s="64" t="n">
        <f aca="false">ROUNDUP(55/D9,0)</f>
        <v>5</v>
      </c>
      <c r="E10" s="67" t="n">
        <f aca="false">ROUNDUP(55/E9,0)</f>
        <v>4</v>
      </c>
      <c r="F10" s="67" t="n">
        <f aca="false">ROUNDUP(55/F9,0)</f>
        <v>14</v>
      </c>
    </row>
    <row r="11" customFormat="false" ht="19.5" hidden="false" customHeight="true" outlineLevel="0" collapsed="false">
      <c r="B11" s="5" t="s">
        <v>176</v>
      </c>
      <c r="C11" s="5"/>
      <c r="D11" s="5"/>
      <c r="E11" s="5"/>
      <c r="F11" s="5"/>
    </row>
    <row r="12" customFormat="false" ht="16.5" hidden="false" customHeight="true" outlineLevel="0" collapsed="false">
      <c r="B12" s="7" t="s">
        <v>177</v>
      </c>
      <c r="C12" s="68" t="n">
        <f aca="false">55*15*C7/1000000</f>
        <v>70.125</v>
      </c>
      <c r="D12" s="69" t="n">
        <f aca="false">55*15*D7/1000000</f>
        <v>86.625</v>
      </c>
      <c r="E12" s="68" t="n">
        <f aca="false">55*15*E7/1000000</f>
        <v>107.25</v>
      </c>
      <c r="F12" s="68" t="n">
        <f aca="false">55*15*F7/1000000</f>
        <v>57.75</v>
      </c>
    </row>
    <row r="13" customFormat="false" ht="16.5" hidden="false" customHeight="true" outlineLevel="0" collapsed="false">
      <c r="B13" s="10" t="s">
        <v>178</v>
      </c>
      <c r="C13" s="70" t="n">
        <v>75</v>
      </c>
      <c r="D13" s="69" t="n">
        <v>75</v>
      </c>
      <c r="E13" s="70" t="n">
        <v>75</v>
      </c>
      <c r="F13" s="70" t="n">
        <v>90</v>
      </c>
    </row>
    <row r="14" customFormat="false" ht="16.5" hidden="false" customHeight="true" outlineLevel="0" collapsed="false">
      <c r="B14" s="7" t="s">
        <v>179</v>
      </c>
      <c r="C14" s="68" t="n">
        <f aca="false">C12-C13</f>
        <v>-4.875</v>
      </c>
      <c r="D14" s="69" t="n">
        <f aca="false">D12-D13</f>
        <v>11.625</v>
      </c>
      <c r="E14" s="68" t="n">
        <f aca="false">E12-E13</f>
        <v>32.25</v>
      </c>
      <c r="F14" s="68" t="n">
        <f aca="false">F12-F13</f>
        <v>-32.25</v>
      </c>
    </row>
    <row r="15" customFormat="false" ht="16.5" hidden="false" customHeight="true" outlineLevel="0" collapsed="false">
      <c r="B15" s="10" t="s">
        <v>180</v>
      </c>
      <c r="C15" s="71" t="n">
        <f aca="false">C14/C13</f>
        <v>-0.065</v>
      </c>
      <c r="D15" s="72" t="n">
        <f aca="false">D14/D13</f>
        <v>0.155</v>
      </c>
      <c r="E15" s="71" t="n">
        <f aca="false">E14/E13</f>
        <v>0.43</v>
      </c>
      <c r="F15" s="71" t="n">
        <f aca="false">F14/F13</f>
        <v>-0.358333333333333</v>
      </c>
    </row>
    <row r="16" customFormat="false" ht="16.5" hidden="false" customHeight="true" outlineLevel="0" collapsed="false">
      <c r="B16" s="7" t="s">
        <v>181</v>
      </c>
      <c r="C16" s="73" t="n">
        <f aca="false">C14/1.2^3</f>
        <v>-2.82118055555556</v>
      </c>
      <c r="D16" s="72" t="n">
        <f aca="false">D14/1.2^4</f>
        <v>5.60619212962963</v>
      </c>
      <c r="E16" s="73" t="n">
        <f aca="false">E14/1.2^3</f>
        <v>18.6631944444444</v>
      </c>
      <c r="F16" s="73" t="n">
        <f aca="false">F14/1.2^5</f>
        <v>-12.9605516975309</v>
      </c>
    </row>
    <row r="17" customFormat="false" ht="16.5" hidden="false" customHeight="true" outlineLevel="0" collapsed="false">
      <c r="B17" s="10" t="s">
        <v>182</v>
      </c>
      <c r="C17" s="71" t="n">
        <f aca="false">C14/C13*0.8</f>
        <v>-0.052</v>
      </c>
      <c r="D17" s="72" t="n">
        <f aca="false">D14/D13*0.9</f>
        <v>0.1395</v>
      </c>
      <c r="E17" s="71" t="n">
        <f aca="false">E14/E13</f>
        <v>0.43</v>
      </c>
      <c r="F17" s="71" t="n">
        <f aca="false">F14/F13*0.5</f>
        <v>-0.179166666666667</v>
      </c>
    </row>
    <row r="18" customFormat="false" ht="19.5" hidden="false" customHeight="true" outlineLevel="0" collapsed="false">
      <c r="B18" s="5" t="s">
        <v>183</v>
      </c>
      <c r="C18" s="5"/>
      <c r="D18" s="5"/>
      <c r="E18" s="5"/>
      <c r="F18" s="5"/>
    </row>
  </sheetData>
  <mergeCells count="5">
    <mergeCell ref="B1:F1"/>
    <mergeCell ref="B3:F3"/>
    <mergeCell ref="B8:F8"/>
    <mergeCell ref="B11:F11"/>
    <mergeCell ref="B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8"/>
    <col collapsed="false" customWidth="true" hidden="false" outlineLevel="0" max="5" min="3" style="1" width="14"/>
    <col collapsed="false" customWidth="true" hidden="false" outlineLevel="0" max="6" min="6" style="1" width="38"/>
    <col collapsed="false" customWidth="true" hidden="false" outlineLevel="0" max="7" min="7" style="1" width="32"/>
  </cols>
  <sheetData>
    <row r="1" customFormat="false" ht="30" hidden="false" customHeight="true" outlineLevel="0" collapsed="false">
      <c r="B1" s="59" t="s">
        <v>184</v>
      </c>
      <c r="C1" s="59"/>
      <c r="D1" s="59"/>
      <c r="E1" s="59"/>
      <c r="F1" s="59"/>
      <c r="G1" s="59"/>
    </row>
    <row r="2" customFormat="false" ht="19.5" hidden="false" customHeight="true" outlineLevel="0" collapsed="false">
      <c r="B2" s="6" t="s">
        <v>185</v>
      </c>
      <c r="C2" s="6" t="s">
        <v>186</v>
      </c>
      <c r="D2" s="6" t="s">
        <v>187</v>
      </c>
      <c r="E2" s="6" t="s">
        <v>188</v>
      </c>
      <c r="F2" s="6" t="s">
        <v>189</v>
      </c>
      <c r="G2" s="6" t="s">
        <v>190</v>
      </c>
    </row>
    <row r="3" customFormat="false" ht="21.75" hidden="false" customHeight="true" outlineLevel="0" collapsed="false">
      <c r="B3" s="74" t="s">
        <v>191</v>
      </c>
      <c r="C3" s="74"/>
      <c r="D3" s="74"/>
      <c r="E3" s="74"/>
      <c r="F3" s="74"/>
      <c r="G3" s="74"/>
    </row>
    <row r="4" customFormat="false" ht="51.75" hidden="false" customHeight="true" outlineLevel="0" collapsed="false">
      <c r="B4" s="53" t="s">
        <v>192</v>
      </c>
      <c r="C4" s="7" t="s">
        <v>193</v>
      </c>
      <c r="D4" s="75" t="s">
        <v>194</v>
      </c>
      <c r="E4" s="75" t="s">
        <v>195</v>
      </c>
      <c r="F4" s="76" t="s">
        <v>196</v>
      </c>
      <c r="G4" s="77" t="s">
        <v>197</v>
      </c>
    </row>
    <row r="5" customFormat="false" ht="51.75" hidden="false" customHeight="true" outlineLevel="0" collapsed="false">
      <c r="B5" s="50" t="s">
        <v>198</v>
      </c>
      <c r="C5" s="10" t="s">
        <v>193</v>
      </c>
      <c r="D5" s="75" t="s">
        <v>194</v>
      </c>
      <c r="E5" s="75" t="s">
        <v>195</v>
      </c>
      <c r="F5" s="78" t="s">
        <v>199</v>
      </c>
      <c r="G5" s="79" t="s">
        <v>200</v>
      </c>
    </row>
    <row r="6" customFormat="false" ht="51.75" hidden="false" customHeight="true" outlineLevel="0" collapsed="false">
      <c r="B6" s="53" t="s">
        <v>201</v>
      </c>
      <c r="C6" s="7" t="s">
        <v>193</v>
      </c>
      <c r="D6" s="80" t="s">
        <v>202</v>
      </c>
      <c r="E6" s="80" t="s">
        <v>203</v>
      </c>
      <c r="F6" s="76" t="s">
        <v>204</v>
      </c>
      <c r="G6" s="77" t="s">
        <v>205</v>
      </c>
    </row>
    <row r="7" customFormat="false" ht="51.75" hidden="false" customHeight="true" outlineLevel="0" collapsed="false">
      <c r="B7" s="50" t="s">
        <v>206</v>
      </c>
      <c r="C7" s="10" t="s">
        <v>193</v>
      </c>
      <c r="D7" s="80" t="s">
        <v>202</v>
      </c>
      <c r="E7" s="80" t="s">
        <v>203</v>
      </c>
      <c r="F7" s="78" t="s">
        <v>207</v>
      </c>
      <c r="G7" s="79" t="s">
        <v>208</v>
      </c>
    </row>
    <row r="8" customFormat="false" ht="51.75" hidden="false" customHeight="true" outlineLevel="0" collapsed="false">
      <c r="B8" s="53" t="s">
        <v>209</v>
      </c>
      <c r="C8" s="7" t="s">
        <v>193</v>
      </c>
      <c r="D8" s="80" t="s">
        <v>210</v>
      </c>
      <c r="E8" s="80" t="s">
        <v>195</v>
      </c>
      <c r="F8" s="76" t="s">
        <v>211</v>
      </c>
      <c r="G8" s="77" t="s">
        <v>212</v>
      </c>
    </row>
    <row r="9" customFormat="false" ht="21.75" hidden="false" customHeight="true" outlineLevel="0" collapsed="false">
      <c r="B9" s="74" t="s">
        <v>213</v>
      </c>
      <c r="C9" s="74"/>
      <c r="D9" s="74"/>
      <c r="E9" s="74"/>
      <c r="F9" s="74"/>
      <c r="G9" s="74"/>
    </row>
    <row r="10" customFormat="false" ht="51.75" hidden="false" customHeight="true" outlineLevel="0" collapsed="false">
      <c r="B10" s="53" t="s">
        <v>214</v>
      </c>
      <c r="C10" s="7" t="s">
        <v>215</v>
      </c>
      <c r="D10" s="80" t="s">
        <v>194</v>
      </c>
      <c r="E10" s="80" t="s">
        <v>203</v>
      </c>
      <c r="F10" s="76" t="s">
        <v>216</v>
      </c>
      <c r="G10" s="77" t="s">
        <v>217</v>
      </c>
    </row>
    <row r="11" customFormat="false" ht="51.75" hidden="false" customHeight="true" outlineLevel="0" collapsed="false">
      <c r="B11" s="50" t="s">
        <v>218</v>
      </c>
      <c r="C11" s="10" t="s">
        <v>215</v>
      </c>
      <c r="D11" s="80" t="s">
        <v>202</v>
      </c>
      <c r="E11" s="80" t="s">
        <v>203</v>
      </c>
      <c r="F11" s="78" t="s">
        <v>219</v>
      </c>
      <c r="G11" s="79" t="s">
        <v>220</v>
      </c>
    </row>
    <row r="12" customFormat="false" ht="51.75" hidden="false" customHeight="true" outlineLevel="0" collapsed="false">
      <c r="B12" s="53" t="s">
        <v>221</v>
      </c>
      <c r="C12" s="7" t="s">
        <v>215</v>
      </c>
      <c r="D12" s="80" t="s">
        <v>202</v>
      </c>
      <c r="E12" s="80" t="s">
        <v>222</v>
      </c>
      <c r="F12" s="76" t="s">
        <v>223</v>
      </c>
      <c r="G12" s="77" t="s">
        <v>224</v>
      </c>
    </row>
    <row r="13" customFormat="false" ht="51.75" hidden="false" customHeight="true" outlineLevel="0" collapsed="false">
      <c r="B13" s="50" t="s">
        <v>225</v>
      </c>
      <c r="C13" s="10" t="s">
        <v>215</v>
      </c>
      <c r="D13" s="80" t="s">
        <v>202</v>
      </c>
      <c r="E13" s="80" t="s">
        <v>222</v>
      </c>
      <c r="F13" s="78" t="s">
        <v>226</v>
      </c>
      <c r="G13" s="79" t="s">
        <v>227</v>
      </c>
    </row>
    <row r="14" customFormat="false" ht="21.75" hidden="false" customHeight="true" outlineLevel="0" collapsed="false">
      <c r="B14" s="74" t="s">
        <v>228</v>
      </c>
      <c r="C14" s="74"/>
      <c r="D14" s="74"/>
      <c r="E14" s="74"/>
      <c r="F14" s="74"/>
      <c r="G14" s="74"/>
    </row>
    <row r="15" customFormat="false" ht="51.75" hidden="false" customHeight="true" outlineLevel="0" collapsed="false">
      <c r="B15" s="50" t="s">
        <v>229</v>
      </c>
      <c r="C15" s="10" t="s">
        <v>230</v>
      </c>
      <c r="D15" s="80" t="s">
        <v>202</v>
      </c>
      <c r="E15" s="80" t="s">
        <v>203</v>
      </c>
      <c r="F15" s="78" t="s">
        <v>231</v>
      </c>
      <c r="G15" s="79" t="s">
        <v>232</v>
      </c>
    </row>
    <row r="16" customFormat="false" ht="51.75" hidden="false" customHeight="true" outlineLevel="0" collapsed="false">
      <c r="B16" s="53" t="s">
        <v>233</v>
      </c>
      <c r="C16" s="7" t="s">
        <v>230</v>
      </c>
      <c r="D16" s="81" t="s">
        <v>210</v>
      </c>
      <c r="E16" s="81" t="s">
        <v>203</v>
      </c>
      <c r="F16" s="76" t="s">
        <v>234</v>
      </c>
      <c r="G16" s="77" t="s">
        <v>235</v>
      </c>
    </row>
    <row r="17" customFormat="false" ht="51.75" hidden="false" customHeight="true" outlineLevel="0" collapsed="false">
      <c r="B17" s="50" t="s">
        <v>236</v>
      </c>
      <c r="C17" s="10" t="s">
        <v>230</v>
      </c>
      <c r="D17" s="82" t="s">
        <v>210</v>
      </c>
      <c r="E17" s="82" t="s">
        <v>222</v>
      </c>
      <c r="F17" s="78" t="s">
        <v>237</v>
      </c>
      <c r="G17" s="79" t="s">
        <v>238</v>
      </c>
    </row>
    <row r="18" customFormat="false" ht="51.75" hidden="false" customHeight="true" outlineLevel="0" collapsed="false">
      <c r="B18" s="53" t="s">
        <v>239</v>
      </c>
      <c r="C18" s="7" t="s">
        <v>230</v>
      </c>
      <c r="D18" s="82" t="s">
        <v>194</v>
      </c>
      <c r="E18" s="82" t="s">
        <v>240</v>
      </c>
      <c r="F18" s="76" t="s">
        <v>241</v>
      </c>
      <c r="G18" s="77" t="s">
        <v>242</v>
      </c>
    </row>
  </sheetData>
  <mergeCells count="4">
    <mergeCell ref="B1:G1"/>
    <mergeCell ref="B3:G3"/>
    <mergeCell ref="B9:G9"/>
    <mergeCell ref="B14:G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4" min="3" style="1" width="12"/>
    <col collapsed="false" customWidth="true" hidden="false" outlineLevel="0" max="5" min="5" style="1" width="42"/>
  </cols>
  <sheetData>
    <row r="1" customFormat="false" ht="30" hidden="false" customHeight="true" outlineLevel="0" collapsed="false">
      <c r="B1" s="59" t="s">
        <v>243</v>
      </c>
      <c r="C1" s="59"/>
      <c r="D1" s="59"/>
      <c r="E1" s="59"/>
    </row>
    <row r="2" customFormat="false" ht="31.5" hidden="false" customHeight="true" outlineLevel="0" collapsed="false">
      <c r="B2" s="6" t="s">
        <v>244</v>
      </c>
      <c r="C2" s="6" t="s">
        <v>245</v>
      </c>
      <c r="D2" s="6" t="s">
        <v>246</v>
      </c>
      <c r="E2" s="6" t="s">
        <v>247</v>
      </c>
    </row>
    <row r="3" customFormat="false" ht="24" hidden="false" customHeight="true" outlineLevel="0" collapsed="false">
      <c r="B3" s="74" t="s">
        <v>248</v>
      </c>
      <c r="C3" s="74"/>
      <c r="D3" s="74"/>
      <c r="E3" s="74"/>
    </row>
    <row r="4" customFormat="false" ht="39.75" hidden="false" customHeight="true" outlineLevel="0" collapsed="false">
      <c r="B4" s="7" t="s">
        <v>249</v>
      </c>
      <c r="C4" s="83" t="s">
        <v>250</v>
      </c>
      <c r="D4" s="84" t="s">
        <v>251</v>
      </c>
      <c r="E4" s="76" t="s">
        <v>252</v>
      </c>
    </row>
    <row r="5" customFormat="false" ht="39.75" hidden="false" customHeight="true" outlineLevel="0" collapsed="false">
      <c r="B5" s="10" t="s">
        <v>253</v>
      </c>
      <c r="C5" s="83" t="s">
        <v>254</v>
      </c>
      <c r="D5" s="84" t="s">
        <v>255</v>
      </c>
      <c r="E5" s="78" t="s">
        <v>256</v>
      </c>
    </row>
    <row r="6" customFormat="false" ht="39.75" hidden="false" customHeight="true" outlineLevel="0" collapsed="false">
      <c r="B6" s="7" t="s">
        <v>257</v>
      </c>
      <c r="C6" s="83" t="s">
        <v>258</v>
      </c>
      <c r="D6" s="84" t="s">
        <v>255</v>
      </c>
      <c r="E6" s="76" t="s">
        <v>259</v>
      </c>
    </row>
    <row r="7" customFormat="false" ht="39.75" hidden="false" customHeight="true" outlineLevel="0" collapsed="false">
      <c r="B7" s="10" t="s">
        <v>260</v>
      </c>
      <c r="C7" s="83" t="s">
        <v>254</v>
      </c>
      <c r="D7" s="84" t="s">
        <v>261</v>
      </c>
      <c r="E7" s="78" t="s">
        <v>262</v>
      </c>
    </row>
    <row r="8" customFormat="false" ht="24" hidden="false" customHeight="true" outlineLevel="0" collapsed="false">
      <c r="B8" s="74" t="s">
        <v>263</v>
      </c>
      <c r="C8" s="74"/>
      <c r="D8" s="74"/>
      <c r="E8" s="74"/>
    </row>
    <row r="9" customFormat="false" ht="39.75" hidden="false" customHeight="true" outlineLevel="0" collapsed="false">
      <c r="B9" s="10" t="s">
        <v>264</v>
      </c>
      <c r="C9" s="83" t="s">
        <v>265</v>
      </c>
      <c r="D9" s="84" t="s">
        <v>266</v>
      </c>
      <c r="E9" s="78" t="s">
        <v>267</v>
      </c>
    </row>
    <row r="10" customFormat="false" ht="39.75" hidden="false" customHeight="true" outlineLevel="0" collapsed="false">
      <c r="B10" s="7" t="s">
        <v>268</v>
      </c>
      <c r="C10" s="83" t="s">
        <v>269</v>
      </c>
      <c r="D10" s="84" t="s">
        <v>255</v>
      </c>
      <c r="E10" s="76" t="s">
        <v>270</v>
      </c>
    </row>
    <row r="11" customFormat="false" ht="39.75" hidden="false" customHeight="true" outlineLevel="0" collapsed="false">
      <c r="B11" s="10" t="s">
        <v>271</v>
      </c>
      <c r="C11" s="83" t="s">
        <v>272</v>
      </c>
      <c r="D11" s="84" t="s">
        <v>255</v>
      </c>
      <c r="E11" s="78" t="s">
        <v>273</v>
      </c>
    </row>
    <row r="12" customFormat="false" ht="39.75" hidden="false" customHeight="true" outlineLevel="0" collapsed="false">
      <c r="B12" s="7" t="s">
        <v>274</v>
      </c>
      <c r="C12" s="83" t="s">
        <v>269</v>
      </c>
      <c r="D12" s="84" t="s">
        <v>251</v>
      </c>
      <c r="E12" s="76" t="s">
        <v>275</v>
      </c>
    </row>
    <row r="13" customFormat="false" ht="24" hidden="false" customHeight="true" outlineLevel="0" collapsed="false">
      <c r="B13" s="74" t="s">
        <v>276</v>
      </c>
      <c r="C13" s="74"/>
      <c r="D13" s="74"/>
      <c r="E13" s="74"/>
    </row>
    <row r="14" customFormat="false" ht="39.75" hidden="false" customHeight="true" outlineLevel="0" collapsed="false">
      <c r="B14" s="7" t="s">
        <v>277</v>
      </c>
      <c r="C14" s="83" t="s">
        <v>278</v>
      </c>
      <c r="D14" s="84" t="s">
        <v>266</v>
      </c>
      <c r="E14" s="76" t="s">
        <v>279</v>
      </c>
    </row>
    <row r="15" customFormat="false" ht="39.75" hidden="false" customHeight="true" outlineLevel="0" collapsed="false">
      <c r="B15" s="10" t="s">
        <v>280</v>
      </c>
      <c r="C15" s="83" t="s">
        <v>254</v>
      </c>
      <c r="D15" s="84" t="s">
        <v>255</v>
      </c>
      <c r="E15" s="78" t="s">
        <v>281</v>
      </c>
    </row>
    <row r="16" customFormat="false" ht="39.75" hidden="false" customHeight="true" outlineLevel="0" collapsed="false">
      <c r="B16" s="7" t="s">
        <v>282</v>
      </c>
      <c r="C16" s="83" t="s">
        <v>283</v>
      </c>
      <c r="D16" s="84" t="s">
        <v>251</v>
      </c>
      <c r="E16" s="76" t="s">
        <v>284</v>
      </c>
    </row>
    <row r="17" customFormat="false" ht="39.75" hidden="false" customHeight="true" outlineLevel="0" collapsed="false">
      <c r="B17" s="10" t="s">
        <v>285</v>
      </c>
      <c r="C17" s="83" t="s">
        <v>265</v>
      </c>
      <c r="D17" s="84" t="s">
        <v>286</v>
      </c>
      <c r="E17" s="78" t="s">
        <v>287</v>
      </c>
    </row>
    <row r="18" customFormat="false" ht="24" hidden="false" customHeight="true" outlineLevel="0" collapsed="false">
      <c r="B18" s="74" t="s">
        <v>288</v>
      </c>
      <c r="C18" s="74"/>
      <c r="D18" s="74"/>
      <c r="E18" s="74"/>
    </row>
    <row r="19" customFormat="false" ht="39.75" hidden="false" customHeight="true" outlineLevel="0" collapsed="false">
      <c r="B19" s="10" t="s">
        <v>289</v>
      </c>
      <c r="C19" s="83" t="s">
        <v>290</v>
      </c>
      <c r="D19" s="84" t="s">
        <v>266</v>
      </c>
      <c r="E19" s="78" t="s">
        <v>291</v>
      </c>
    </row>
    <row r="20" customFormat="false" ht="39.75" hidden="false" customHeight="true" outlineLevel="0" collapsed="false">
      <c r="B20" s="7" t="s">
        <v>292</v>
      </c>
      <c r="C20" s="83" t="s">
        <v>254</v>
      </c>
      <c r="D20" s="84" t="s">
        <v>266</v>
      </c>
      <c r="E20" s="76" t="s">
        <v>293</v>
      </c>
    </row>
    <row r="21" customFormat="false" ht="39.75" hidden="false" customHeight="true" outlineLevel="0" collapsed="false">
      <c r="B21" s="10" t="s">
        <v>294</v>
      </c>
      <c r="C21" s="83" t="s">
        <v>254</v>
      </c>
      <c r="D21" s="84" t="s">
        <v>255</v>
      </c>
      <c r="E21" s="78" t="s">
        <v>295</v>
      </c>
    </row>
    <row r="22" customFormat="false" ht="39.75" hidden="false" customHeight="true" outlineLevel="0" collapsed="false">
      <c r="B22" s="7" t="s">
        <v>296</v>
      </c>
      <c r="C22" s="83" t="s">
        <v>269</v>
      </c>
      <c r="D22" s="84" t="s">
        <v>251</v>
      </c>
      <c r="E22" s="76" t="s">
        <v>297</v>
      </c>
    </row>
    <row r="23" customFormat="false" ht="24" hidden="false" customHeight="true" outlineLevel="0" collapsed="false">
      <c r="B23" s="74" t="s">
        <v>298</v>
      </c>
      <c r="C23" s="74"/>
      <c r="D23" s="74"/>
      <c r="E23" s="74"/>
    </row>
    <row r="24" customFormat="false" ht="39.75" hidden="false" customHeight="true" outlineLevel="0" collapsed="false">
      <c r="B24" s="7" t="s">
        <v>299</v>
      </c>
      <c r="C24" s="83" t="s">
        <v>258</v>
      </c>
      <c r="D24" s="84" t="s">
        <v>251</v>
      </c>
      <c r="E24" s="76" t="s">
        <v>300</v>
      </c>
    </row>
    <row r="25" customFormat="false" ht="39.75" hidden="false" customHeight="true" outlineLevel="0" collapsed="false">
      <c r="B25" s="10" t="s">
        <v>301</v>
      </c>
      <c r="C25" s="83" t="s">
        <v>269</v>
      </c>
      <c r="D25" s="84" t="s">
        <v>286</v>
      </c>
      <c r="E25" s="78" t="s">
        <v>302</v>
      </c>
    </row>
    <row r="26" customFormat="false" ht="39.75" hidden="false" customHeight="true" outlineLevel="0" collapsed="false">
      <c r="B26" s="7" t="s">
        <v>303</v>
      </c>
      <c r="C26" s="83" t="s">
        <v>254</v>
      </c>
      <c r="D26" s="84" t="s">
        <v>251</v>
      </c>
      <c r="E26" s="76" t="s">
        <v>304</v>
      </c>
    </row>
    <row r="27" customFormat="false" ht="24" hidden="false" customHeight="true" outlineLevel="0" collapsed="false">
      <c r="B27" s="85" t="s">
        <v>305</v>
      </c>
      <c r="C27" s="85"/>
      <c r="D27" s="85"/>
      <c r="E27" s="85"/>
    </row>
    <row r="28" customFormat="false" ht="39.75" hidden="false" customHeight="true" outlineLevel="0" collapsed="false">
      <c r="B28" s="7" t="s">
        <v>306</v>
      </c>
      <c r="C28" s="83" t="s">
        <v>307</v>
      </c>
      <c r="D28" s="84"/>
      <c r="E28" s="76" t="s">
        <v>308</v>
      </c>
    </row>
  </sheetData>
  <mergeCells count="7">
    <mergeCell ref="B1:E1"/>
    <mergeCell ref="B3:E3"/>
    <mergeCell ref="B8:E8"/>
    <mergeCell ref="B13:E13"/>
    <mergeCell ref="B18:E18"/>
    <mergeCell ref="B23:E23"/>
    <mergeCell ref="B27:E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6"/>
    <col collapsed="false" customWidth="true" hidden="false" outlineLevel="0" max="4" min="3" style="1" width="12"/>
    <col collapsed="false" customWidth="true" hidden="false" outlineLevel="0" max="5" min="5" style="1" width="16"/>
    <col collapsed="false" customWidth="true" hidden="false" outlineLevel="0" max="6" min="6" style="1" width="14"/>
    <col collapsed="false" customWidth="true" hidden="false" outlineLevel="0" max="7" min="7" style="1" width="16"/>
    <col collapsed="false" customWidth="true" hidden="false" outlineLevel="0" max="8" min="8" style="1" width="30"/>
    <col collapsed="false" customWidth="true" hidden="false" outlineLevel="0" max="9" min="9" style="1" width="14"/>
  </cols>
  <sheetData>
    <row r="1" customFormat="false" ht="30" hidden="false" customHeight="true" outlineLevel="0" collapsed="false">
      <c r="B1" s="59" t="s">
        <v>309</v>
      </c>
      <c r="C1" s="59"/>
      <c r="D1" s="59"/>
      <c r="E1" s="59"/>
      <c r="F1" s="59"/>
      <c r="G1" s="59"/>
      <c r="H1" s="59"/>
      <c r="I1" s="59"/>
    </row>
    <row r="2" customFormat="false" ht="19.5" hidden="false" customHeight="true" outlineLevel="0" collapsed="false">
      <c r="B2" s="6" t="s">
        <v>310</v>
      </c>
      <c r="C2" s="6" t="s">
        <v>311</v>
      </c>
      <c r="D2" s="6" t="s">
        <v>312</v>
      </c>
      <c r="E2" s="6" t="s">
        <v>313</v>
      </c>
      <c r="F2" s="6" t="s">
        <v>314</v>
      </c>
      <c r="G2" s="6" t="s">
        <v>315</v>
      </c>
      <c r="H2" s="6" t="s">
        <v>316</v>
      </c>
      <c r="I2" s="6" t="s">
        <v>317</v>
      </c>
    </row>
    <row r="3" customFormat="false" ht="18" hidden="false" customHeight="true" outlineLevel="0" collapsed="false">
      <c r="B3" s="86" t="s">
        <v>318</v>
      </c>
      <c r="C3" s="87" t="n">
        <v>100</v>
      </c>
      <c r="D3" s="84" t="s">
        <v>319</v>
      </c>
      <c r="E3" s="84" t="s">
        <v>320</v>
      </c>
      <c r="F3" s="88" t="n">
        <v>85000</v>
      </c>
      <c r="G3" s="88" t="n">
        <v>125000</v>
      </c>
      <c r="H3" s="86" t="s">
        <v>321</v>
      </c>
      <c r="I3" s="84" t="s">
        <v>322</v>
      </c>
    </row>
    <row r="4" customFormat="false" ht="18" hidden="false" customHeight="true" outlineLevel="0" collapsed="false">
      <c r="B4" s="7" t="s">
        <v>323</v>
      </c>
      <c r="C4" s="89" t="n">
        <v>106</v>
      </c>
      <c r="D4" s="90" t="s">
        <v>324</v>
      </c>
      <c r="E4" s="90" t="s">
        <v>325</v>
      </c>
      <c r="F4" s="91" t="n">
        <v>188000</v>
      </c>
      <c r="G4" s="91" t="n">
        <v>350000</v>
      </c>
      <c r="H4" s="7" t="s">
        <v>326</v>
      </c>
      <c r="I4" s="90" t="s">
        <v>327</v>
      </c>
    </row>
    <row r="5" customFormat="false" ht="18" hidden="false" customHeight="true" outlineLevel="0" collapsed="false">
      <c r="B5" s="10" t="s">
        <v>328</v>
      </c>
      <c r="C5" s="92" t="n">
        <v>95</v>
      </c>
      <c r="D5" s="93" t="s">
        <v>329</v>
      </c>
      <c r="E5" s="93" t="s">
        <v>330</v>
      </c>
      <c r="F5" s="94" t="n">
        <v>45000</v>
      </c>
      <c r="G5" s="94" t="n">
        <v>70000</v>
      </c>
      <c r="H5" s="10" t="s">
        <v>331</v>
      </c>
      <c r="I5" s="93" t="s">
        <v>332</v>
      </c>
    </row>
    <row r="6" customFormat="false" ht="18" hidden="false" customHeight="true" outlineLevel="0" collapsed="false">
      <c r="B6" s="7" t="s">
        <v>333</v>
      </c>
      <c r="C6" s="89" t="n">
        <v>85</v>
      </c>
      <c r="D6" s="90" t="s">
        <v>334</v>
      </c>
      <c r="E6" s="90" t="s">
        <v>335</v>
      </c>
      <c r="F6" s="91" t="n">
        <v>60000</v>
      </c>
      <c r="G6" s="91" t="n">
        <v>80000</v>
      </c>
      <c r="H6" s="7" t="s">
        <v>336</v>
      </c>
      <c r="I6" s="90" t="s">
        <v>322</v>
      </c>
    </row>
    <row r="7" customFormat="false" ht="18" hidden="false" customHeight="true" outlineLevel="0" collapsed="false">
      <c r="B7" s="10" t="s">
        <v>337</v>
      </c>
      <c r="C7" s="92" t="n">
        <v>90</v>
      </c>
      <c r="D7" s="93" t="s">
        <v>338</v>
      </c>
      <c r="E7" s="93" t="s">
        <v>339</v>
      </c>
      <c r="F7" s="94" t="n">
        <v>40000</v>
      </c>
      <c r="G7" s="94" t="n">
        <v>65000</v>
      </c>
      <c r="H7" s="10" t="s">
        <v>340</v>
      </c>
      <c r="I7" s="93" t="s">
        <v>341</v>
      </c>
    </row>
    <row r="8" customFormat="false" ht="18" hidden="false" customHeight="true" outlineLevel="0" collapsed="false">
      <c r="B8" s="7" t="s">
        <v>342</v>
      </c>
      <c r="C8" s="89" t="n">
        <v>98</v>
      </c>
      <c r="D8" s="90" t="s">
        <v>343</v>
      </c>
      <c r="E8" s="90" t="s">
        <v>339</v>
      </c>
      <c r="F8" s="91" t="n">
        <v>50000</v>
      </c>
      <c r="G8" s="91" t="n">
        <v>80000</v>
      </c>
      <c r="H8" s="7" t="s">
        <v>344</v>
      </c>
      <c r="I8" s="90" t="s">
        <v>332</v>
      </c>
    </row>
    <row r="9" customFormat="false" ht="18" hidden="false" customHeight="true" outlineLevel="0" collapsed="false">
      <c r="B9" s="10" t="s">
        <v>345</v>
      </c>
      <c r="C9" s="92" t="n">
        <v>95</v>
      </c>
      <c r="D9" s="93" t="s">
        <v>346</v>
      </c>
      <c r="E9" s="93" t="s">
        <v>347</v>
      </c>
      <c r="F9" s="94" t="n">
        <v>30000</v>
      </c>
      <c r="G9" s="94" t="n">
        <v>157000</v>
      </c>
      <c r="H9" s="10" t="s">
        <v>348</v>
      </c>
      <c r="I9" s="93" t="s">
        <v>332</v>
      </c>
    </row>
    <row r="11" customFormat="false" ht="30" hidden="false" customHeight="true" outlineLevel="0" collapsed="false">
      <c r="B11" s="95" t="s">
        <v>349</v>
      </c>
      <c r="C11" s="95"/>
      <c r="D11" s="95"/>
      <c r="E11" s="95"/>
      <c r="F11" s="95"/>
      <c r="G11" s="95"/>
      <c r="H11" s="95"/>
      <c r="I11" s="95"/>
    </row>
  </sheetData>
  <mergeCells count="2">
    <mergeCell ref="B1:I1"/>
    <mergeCell ref="B11:I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2026-05-15T07:36:04Z</dcterms:created>
  <dc:creator>openpyxl</dc:creator>
  <dc:description/>
  <dc:language>en-US</dc:language>
  <cp:lastModifiedBy/>
  <dcterms:modified xsi:type="dcterms:W3CDTF">2026-05-15T07:38:37Z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